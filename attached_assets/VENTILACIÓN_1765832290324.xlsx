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120" yWindow="105" windowWidth="20115" windowHeight="7680" activeTab="2"/>
  </bookViews>
  <sheets>
    <sheet name="Hoja1" sheetId="1" r:id="rId1"/>
    <sheet name="Hoja2" sheetId="4" r:id="rId2"/>
    <sheet name="Hoja4" sheetId="6" r:id="rId3"/>
    <sheet name="VIENTO" sheetId="7" r:id="rId4"/>
  </sheets>
  <definedNames>
    <definedName name="_xlnm.Print_Area" localSheetId="0">Hoja1!$A$1:$E$43</definedName>
  </definedNames>
  <calcPr calcId="124519"/>
</workbook>
</file>

<file path=xl/calcChain.xml><?xml version="1.0" encoding="utf-8"?>
<calcChain xmlns="http://schemas.openxmlformats.org/spreadsheetml/2006/main">
  <c r="M7" i="6"/>
  <c r="M6"/>
  <c r="J12"/>
  <c r="J6"/>
  <c r="K12"/>
  <c r="L12" s="1"/>
  <c r="O12" s="1"/>
  <c r="H6"/>
  <c r="H12" s="1"/>
  <c r="B6" i="1"/>
  <c r="G9" i="6"/>
  <c r="F9"/>
  <c r="H7" l="1"/>
  <c r="J7" s="1"/>
  <c r="K7" s="1"/>
  <c r="L7" s="1"/>
  <c r="K6"/>
  <c r="L6" s="1"/>
  <c r="G17" i="1"/>
  <c r="G14"/>
  <c r="F14"/>
  <c r="I7"/>
  <c r="B13"/>
  <c r="B9"/>
  <c r="B18" s="1"/>
  <c r="O7" i="6" l="1"/>
  <c r="O6"/>
  <c r="N21" i="4"/>
  <c r="B15" i="1" l="1"/>
  <c r="B16" l="1"/>
</calcChain>
</file>

<file path=xl/sharedStrings.xml><?xml version="1.0" encoding="utf-8"?>
<sst xmlns="http://schemas.openxmlformats.org/spreadsheetml/2006/main" count="53" uniqueCount="46">
  <si>
    <t xml:space="preserve">Largo de Local </t>
  </si>
  <si>
    <t xml:space="preserve">Ancho de Local </t>
  </si>
  <si>
    <t xml:space="preserve">Alto de Local </t>
  </si>
  <si>
    <t>Metros</t>
  </si>
  <si>
    <t>m3</t>
  </si>
  <si>
    <t>m3/h</t>
  </si>
  <si>
    <t>c/u</t>
  </si>
  <si>
    <t xml:space="preserve">Volumen de Local </t>
  </si>
  <si>
    <t xml:space="preserve">El sistema de ventilación debe estar diseñado para permitir una remoción permanente del aire viciado, a portón cerrado, mediante la instalación de rejillas de ventilación ubicadas a un mínimo de 25 (veinticinco) cm. del nivel del piso y a 50 cm/1m por debajo del nivel del techo (dependiendo de la altura) y aereadores eólicos o sistema similar de extracción.  El número de rejillas será igual arriba que abajo, deberán estar homogéneamente distribuidas a lo largo de las paredes del depósito y su dimensión será determinada por el cálculo de la renovación de aire por hora realizado por el profesional responsable de la instalación.
Es recomendable un rango de 6 a 10 renovaciones horarias, dependiendo del tipo de productos almacenados y la temperatura ambiente, entre otros factores. 
</t>
  </si>
  <si>
    <t>casafe</t>
  </si>
  <si>
    <t>Artículo 64º) En todos los establecimientos, la ventilación contribuirá a mantener condiciones ambientales que no perjudiquen la salud del trabajador.
Artículo 65º) Los establecimientos en los que se realicen actividades laborales, deberán ventilarse preferentemente en forma natural.
Artículo 66º) La ventilación mínima de los locales, determinado en función del número de personas, será la establecida en la siguiente tabla:</t>
  </si>
  <si>
    <t>Tipo de Trabajo</t>
  </si>
  <si>
    <t>MODERADO</t>
  </si>
  <si>
    <t>m3/h*Persona</t>
  </si>
  <si>
    <t>m3*Persona</t>
  </si>
  <si>
    <t>Cubaje del Local por m3 por Persona</t>
  </si>
  <si>
    <t>Caudal de Aire Instalado</t>
  </si>
  <si>
    <t>Caudal de Aire Requerido (Dec. 351/79 Cap. XI)</t>
  </si>
  <si>
    <t>DATOS INGRESADOS</t>
  </si>
  <si>
    <t>DATOS CALCULADOS</t>
  </si>
  <si>
    <t>Cantidad de Extractores Instalados</t>
  </si>
  <si>
    <t>Caudal de Extracción de Aire Instalado</t>
  </si>
  <si>
    <t>Cantidad de Trabajadores (Puestos Moviles)</t>
  </si>
  <si>
    <t xml:space="preserve">Especificaciónes del Local  </t>
  </si>
  <si>
    <t xml:space="preserve">Calculo y Verificación por Decreto 351/79 Capítulo XI Art. Nº 64 </t>
  </si>
  <si>
    <t>Cumple los Req. Legales (Dec. 351/79 Cap. XI)</t>
  </si>
  <si>
    <t>Calculo de Tasa de Renovación</t>
  </si>
  <si>
    <t>Tasa de Renovación de Aire/hora</t>
  </si>
  <si>
    <t>Renov./Hora</t>
  </si>
  <si>
    <t>Caudal Promedio del Extractor 24"</t>
  </si>
  <si>
    <t>DEPOSITO TUC AGRO (AGROQUIMICOS)</t>
  </si>
  <si>
    <t>Cantidad de Ventilaciones</t>
  </si>
  <si>
    <t xml:space="preserve">Largo </t>
  </si>
  <si>
    <t>Ancho</t>
  </si>
  <si>
    <t>Superficie</t>
  </si>
  <si>
    <t>Caudal de Extracción</t>
  </si>
  <si>
    <t>Caudal de Extracción por Persona</t>
  </si>
  <si>
    <t>m</t>
  </si>
  <si>
    <t>m2</t>
  </si>
  <si>
    <t>m/s</t>
  </si>
  <si>
    <t>m3/s</t>
  </si>
  <si>
    <t>m3/min</t>
  </si>
  <si>
    <t xml:space="preserve"> (m3/h por persona)</t>
  </si>
  <si>
    <t>Fecha</t>
  </si>
  <si>
    <t>Viento medio</t>
  </si>
  <si>
    <t>Viento máximo</t>
  </si>
</sst>
</file>

<file path=xl/styles.xml><?xml version="1.0" encoding="utf-8"?>
<styleSheet xmlns="http://schemas.openxmlformats.org/spreadsheetml/2006/main">
  <numFmts count="2">
    <numFmt numFmtId="164" formatCode="0.0000"/>
    <numFmt numFmtId="165" formatCode="0.0"/>
  </numFmts>
  <fonts count="7">
    <font>
      <sz val="11"/>
      <color theme="1"/>
      <name val="Calibri"/>
      <family val="2"/>
      <scheme val="minor"/>
    </font>
    <font>
      <b/>
      <sz val="11"/>
      <color theme="1"/>
      <name val="Times New Roman"/>
      <family val="1"/>
    </font>
    <font>
      <sz val="11"/>
      <color theme="1"/>
      <name val="Times New Roman"/>
      <family val="1"/>
    </font>
    <font>
      <sz val="10"/>
      <color theme="1"/>
      <name val="Calibri"/>
      <family val="2"/>
      <scheme val="minor"/>
    </font>
    <font>
      <b/>
      <sz val="10"/>
      <color rgb="FFFF0000"/>
      <name val="Calibri"/>
      <family val="2"/>
      <scheme val="minor"/>
    </font>
    <font>
      <sz val="12"/>
      <color rgb="FF000000"/>
      <name val="Sourcesans-bld"/>
    </font>
    <font>
      <b/>
      <sz val="11"/>
      <color rgb="FFFF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rgb="FF92D050"/>
        <bgColor indexed="64"/>
      </patternFill>
    </fill>
    <fill>
      <patternFill patternType="solid">
        <fgColor rgb="FFA9D0F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ck">
        <color rgb="FF0B3B0B"/>
      </left>
      <right style="thick">
        <color rgb="FF0B3B0B"/>
      </right>
      <top style="thick">
        <color rgb="FF0B3B0B"/>
      </top>
      <bottom style="thick">
        <color rgb="FF0B3B0B"/>
      </bottom>
      <diagonal/>
    </border>
  </borders>
  <cellStyleXfs count="1">
    <xf numFmtId="0" fontId="0" fillId="0" borderId="0"/>
  </cellStyleXfs>
  <cellXfs count="45">
    <xf numFmtId="0" fontId="0" fillId="0" borderId="0" xfId="0"/>
    <xf numFmtId="0" fontId="2" fillId="0" borderId="2" xfId="0" applyFont="1" applyBorder="1"/>
    <xf numFmtId="0" fontId="2" fillId="2" borderId="2" xfId="0" applyFont="1" applyFill="1" applyBorder="1" applyAlignment="1">
      <alignment horizontal="center"/>
    </xf>
    <xf numFmtId="0" fontId="2" fillId="0" borderId="2" xfId="0" applyFont="1" applyBorder="1" applyAlignment="1">
      <alignment horizontal="center"/>
    </xf>
    <xf numFmtId="0" fontId="2" fillId="0" borderId="1" xfId="0" applyFont="1" applyBorder="1"/>
    <xf numFmtId="0" fontId="2" fillId="2" borderId="1" xfId="0" applyFont="1" applyFill="1" applyBorder="1" applyAlignment="1">
      <alignment horizontal="center"/>
    </xf>
    <xf numFmtId="0" fontId="2" fillId="0" borderId="1" xfId="0" applyFont="1" applyBorder="1" applyAlignment="1">
      <alignment horizontal="center"/>
    </xf>
    <xf numFmtId="0" fontId="2" fillId="0" borderId="1" xfId="0" applyFont="1" applyFill="1" applyBorder="1"/>
    <xf numFmtId="0" fontId="2" fillId="0" borderId="1" xfId="0" applyFont="1" applyFill="1" applyBorder="1" applyAlignment="1">
      <alignment horizontal="center"/>
    </xf>
    <xf numFmtId="1" fontId="2" fillId="2" borderId="1" xfId="0" applyNumberFormat="1" applyFont="1" applyFill="1" applyBorder="1" applyAlignment="1">
      <alignment horizontal="center"/>
    </xf>
    <xf numFmtId="0" fontId="2" fillId="5" borderId="1" xfId="0" applyFont="1" applyFill="1" applyBorder="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xf>
    <xf numFmtId="2" fontId="3" fillId="0" borderId="1" xfId="0" applyNumberFormat="1" applyFont="1" applyBorder="1" applyAlignment="1">
      <alignment horizontal="center"/>
    </xf>
    <xf numFmtId="1" fontId="3" fillId="0" borderId="1" xfId="0" applyNumberFormat="1" applyFont="1" applyBorder="1" applyAlignment="1">
      <alignment horizontal="center"/>
    </xf>
    <xf numFmtId="1" fontId="4" fillId="0" borderId="1" xfId="0" applyNumberFormat="1" applyFont="1" applyBorder="1" applyAlignment="1">
      <alignment horizontal="center"/>
    </xf>
    <xf numFmtId="0" fontId="5" fillId="6" borderId="10" xfId="0" applyFont="1" applyFill="1" applyBorder="1" applyAlignment="1">
      <alignment horizontal="left" wrapText="1"/>
    </xf>
    <xf numFmtId="0" fontId="5" fillId="6" borderId="10" xfId="0" applyFont="1" applyFill="1" applyBorder="1" applyAlignment="1">
      <alignment horizontal="right" wrapText="1"/>
    </xf>
    <xf numFmtId="14" fontId="5" fillId="2" borderId="10" xfId="0" applyNumberFormat="1" applyFont="1" applyFill="1" applyBorder="1" applyAlignment="1">
      <alignment horizontal="left" wrapText="1"/>
    </xf>
    <xf numFmtId="0" fontId="5" fillId="2" borderId="10" xfId="0" applyFont="1" applyFill="1" applyBorder="1" applyAlignment="1">
      <alignment horizontal="right" wrapText="1"/>
    </xf>
    <xf numFmtId="14" fontId="5" fillId="6" borderId="10" xfId="0" applyNumberFormat="1" applyFont="1" applyFill="1" applyBorder="1" applyAlignment="1">
      <alignment horizontal="left" wrapText="1"/>
    </xf>
    <xf numFmtId="2" fontId="0" fillId="0" borderId="0" xfId="0" applyNumberFormat="1"/>
    <xf numFmtId="164" fontId="0" fillId="0" borderId="0" xfId="0" applyNumberFormat="1"/>
    <xf numFmtId="1" fontId="2" fillId="5" borderId="1" xfId="0" applyNumberFormat="1" applyFont="1" applyFill="1" applyBorder="1" applyAlignment="1">
      <alignment horizontal="center"/>
    </xf>
    <xf numFmtId="165" fontId="0" fillId="0" borderId="0" xfId="0" applyNumberFormat="1" applyAlignment="1">
      <alignment horizontal="center"/>
    </xf>
    <xf numFmtId="165" fontId="0" fillId="2" borderId="0" xfId="0" applyNumberFormat="1" applyFill="1" applyAlignment="1">
      <alignment horizontal="center"/>
    </xf>
    <xf numFmtId="0" fontId="6" fillId="2" borderId="0" xfId="0" applyFont="1" applyFill="1"/>
    <xf numFmtId="0" fontId="1" fillId="4" borderId="3" xfId="0" applyFont="1" applyFill="1" applyBorder="1" applyAlignment="1">
      <alignment horizontal="center"/>
    </xf>
    <xf numFmtId="0" fontId="1" fillId="4" borderId="4" xfId="0" applyFont="1" applyFill="1" applyBorder="1" applyAlignment="1">
      <alignment horizontal="center"/>
    </xf>
    <xf numFmtId="0" fontId="1" fillId="4" borderId="5" xfId="0" applyFont="1" applyFill="1" applyBorder="1" applyAlignment="1">
      <alignment horizontal="center"/>
    </xf>
    <xf numFmtId="0" fontId="0" fillId="0" borderId="0" xfId="0" applyAlignment="1">
      <alignment horizontal="left" wrapText="1"/>
    </xf>
    <xf numFmtId="0" fontId="0" fillId="0" borderId="0" xfId="0" applyAlignment="1">
      <alignment horizontal="left"/>
    </xf>
    <xf numFmtId="0" fontId="1" fillId="0" borderId="1" xfId="0" applyFont="1" applyBorder="1" applyAlignment="1">
      <alignment horizontal="center"/>
    </xf>
    <xf numFmtId="0" fontId="1" fillId="3" borderId="1" xfId="0" applyFont="1" applyFill="1" applyBorder="1" applyAlignment="1">
      <alignment horizontal="center"/>
    </xf>
    <xf numFmtId="0" fontId="0" fillId="2" borderId="1" xfId="0" applyFill="1" applyBorder="1" applyAlignment="1">
      <alignment horizontal="center"/>
    </xf>
    <xf numFmtId="0" fontId="2" fillId="5" borderId="6" xfId="0" applyFont="1" applyFill="1" applyBorder="1" applyAlignment="1">
      <alignment horizontal="center"/>
    </xf>
    <xf numFmtId="0" fontId="2" fillId="5" borderId="7" xfId="0" applyFont="1" applyFill="1" applyBorder="1" applyAlignment="1">
      <alignment horizontal="center"/>
    </xf>
    <xf numFmtId="0" fontId="3" fillId="0" borderId="8" xfId="0" applyFont="1" applyBorder="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3" fillId="0" borderId="7" xfId="0" applyFont="1" applyBorder="1" applyAlignment="1">
      <alignment horizontal="center" vertical="center"/>
    </xf>
  </cellXfs>
  <cellStyles count="1">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0</xdr:rowOff>
    </xdr:from>
    <xdr:to>
      <xdr:col>5</xdr:col>
      <xdr:colOff>142875</xdr:colOff>
      <xdr:row>27</xdr:row>
      <xdr:rowOff>57150</xdr:rowOff>
    </xdr:to>
    <xdr:pic>
      <xdr:nvPicPr>
        <xdr:cNvPr id="2" name="1 Imagen" descr="http://www.tecnologiaeolica.com.ar/images/grafico2-18.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85725" y="0"/>
          <a:ext cx="3867150" cy="52006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5</xdr:col>
      <xdr:colOff>276225</xdr:colOff>
      <xdr:row>0</xdr:row>
      <xdr:rowOff>0</xdr:rowOff>
    </xdr:from>
    <xdr:to>
      <xdr:col>10</xdr:col>
      <xdr:colOff>333375</xdr:colOff>
      <xdr:row>27</xdr:row>
      <xdr:rowOff>57150</xdr:rowOff>
    </xdr:to>
    <xdr:pic>
      <xdr:nvPicPr>
        <xdr:cNvPr id="3" name="2 Imagen" descr="http://www.tecnologiaeolica.com.ar/images/grafico2-18.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4086225" y="0"/>
          <a:ext cx="3867150" cy="52006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I42"/>
  <sheetViews>
    <sheetView topLeftCell="A10" workbookViewId="0">
      <selection sqref="A1:C16"/>
    </sheetView>
  </sheetViews>
  <sheetFormatPr baseColWidth="10" defaultRowHeight="15"/>
  <cols>
    <col min="1" max="1" width="43.28515625" bestFit="1" customWidth="1"/>
    <col min="2" max="2" width="7" bestFit="1" customWidth="1"/>
    <col min="3" max="3" width="13" bestFit="1" customWidth="1"/>
    <col min="4" max="4" width="30.140625" customWidth="1"/>
  </cols>
  <sheetData>
    <row r="1" spans="1:9" ht="15.75" thickBot="1">
      <c r="A1" s="30" t="s">
        <v>30</v>
      </c>
      <c r="B1" s="31"/>
      <c r="C1" s="32"/>
    </row>
    <row r="2" spans="1:9" ht="15.75" thickBot="1">
      <c r="A2" s="30" t="s">
        <v>23</v>
      </c>
      <c r="B2" s="31"/>
      <c r="C2" s="32"/>
    </row>
    <row r="3" spans="1:9">
      <c r="A3" s="1" t="s">
        <v>0</v>
      </c>
      <c r="B3" s="2">
        <v>19.809999999999999</v>
      </c>
      <c r="C3" s="3" t="s">
        <v>3</v>
      </c>
    </row>
    <row r="4" spans="1:9">
      <c r="A4" s="4" t="s">
        <v>1</v>
      </c>
      <c r="B4" s="5">
        <v>19.579999999999998</v>
      </c>
      <c r="C4" s="6" t="s">
        <v>3</v>
      </c>
    </row>
    <row r="5" spans="1:9">
      <c r="A5" s="4" t="s">
        <v>2</v>
      </c>
      <c r="B5" s="5">
        <v>10.130000000000001</v>
      </c>
      <c r="C5" s="6" t="s">
        <v>3</v>
      </c>
    </row>
    <row r="6" spans="1:9">
      <c r="A6" s="4" t="s">
        <v>7</v>
      </c>
      <c r="B6" s="26">
        <f>+B3*B4*B5</f>
        <v>3929.2223739999995</v>
      </c>
      <c r="C6" s="6" t="s">
        <v>4</v>
      </c>
    </row>
    <row r="7" spans="1:9">
      <c r="A7" s="7" t="s">
        <v>20</v>
      </c>
      <c r="B7" s="9">
        <v>5</v>
      </c>
      <c r="C7" s="8" t="s">
        <v>6</v>
      </c>
      <c r="I7">
        <f>18/60</f>
        <v>0.3</v>
      </c>
    </row>
    <row r="8" spans="1:9">
      <c r="A8" s="4" t="s">
        <v>29</v>
      </c>
      <c r="B8" s="5">
        <v>4650</v>
      </c>
      <c r="C8" s="6" t="s">
        <v>5</v>
      </c>
    </row>
    <row r="9" spans="1:9" ht="15.75" thickBot="1">
      <c r="A9" s="4" t="s">
        <v>21</v>
      </c>
      <c r="B9" s="5">
        <f>+B7*B8</f>
        <v>23250</v>
      </c>
      <c r="C9" s="6" t="s">
        <v>5</v>
      </c>
    </row>
    <row r="10" spans="1:9" ht="15.75" thickBot="1">
      <c r="A10" s="30" t="s">
        <v>24</v>
      </c>
      <c r="B10" s="31"/>
      <c r="C10" s="32"/>
    </row>
    <row r="11" spans="1:9">
      <c r="A11" s="4" t="s">
        <v>11</v>
      </c>
      <c r="B11" s="35" t="s">
        <v>12</v>
      </c>
      <c r="C11" s="35"/>
    </row>
    <row r="12" spans="1:9">
      <c r="A12" s="4" t="s">
        <v>22</v>
      </c>
      <c r="B12" s="5">
        <v>1</v>
      </c>
      <c r="C12" s="6" t="s">
        <v>6</v>
      </c>
    </row>
    <row r="13" spans="1:9">
      <c r="A13" s="4" t="s">
        <v>15</v>
      </c>
      <c r="B13" s="10">
        <f>+B6/B12</f>
        <v>3929.2223739999995</v>
      </c>
      <c r="C13" s="6" t="s">
        <v>14</v>
      </c>
    </row>
    <row r="14" spans="1:9">
      <c r="A14" s="4" t="s">
        <v>17</v>
      </c>
      <c r="B14" s="5">
        <v>18</v>
      </c>
      <c r="C14" s="6" t="s">
        <v>13</v>
      </c>
      <c r="F14">
        <f>0.51*2</f>
        <v>1.02</v>
      </c>
      <c r="G14">
        <f>+F14*60</f>
        <v>61.2</v>
      </c>
    </row>
    <row r="15" spans="1:9">
      <c r="A15" s="4" t="s">
        <v>16</v>
      </c>
      <c r="B15" s="5">
        <f>+B9/B12</f>
        <v>23250</v>
      </c>
      <c r="C15" s="6" t="s">
        <v>13</v>
      </c>
    </row>
    <row r="16" spans="1:9" ht="15.75" thickBot="1">
      <c r="A16" s="7" t="s">
        <v>25</v>
      </c>
      <c r="B16" s="36" t="str">
        <f>IF(B14&gt;B15,"NO","SI")</f>
        <v>SI</v>
      </c>
      <c r="C16" s="36"/>
    </row>
    <row r="17" spans="1:7" ht="15.75" thickBot="1">
      <c r="A17" s="30" t="s">
        <v>26</v>
      </c>
      <c r="B17" s="31"/>
      <c r="C17" s="32"/>
      <c r="G17">
        <f>0.9*2</f>
        <v>1.8</v>
      </c>
    </row>
    <row r="18" spans="1:7">
      <c r="A18" s="4" t="s">
        <v>27</v>
      </c>
      <c r="B18" s="9">
        <f>+B9/B6</f>
        <v>5.917201366317987</v>
      </c>
      <c r="C18" s="6" t="s">
        <v>28</v>
      </c>
    </row>
    <row r="19" spans="1:7">
      <c r="A19" s="7" t="s">
        <v>18</v>
      </c>
      <c r="B19" s="37"/>
      <c r="C19" s="37"/>
    </row>
    <row r="20" spans="1:7">
      <c r="A20" s="7" t="s">
        <v>19</v>
      </c>
      <c r="B20" s="38"/>
      <c r="C20" s="39"/>
    </row>
    <row r="21" spans="1:7">
      <c r="A21" t="s">
        <v>9</v>
      </c>
    </row>
    <row r="22" spans="1:7">
      <c r="A22" s="33" t="s">
        <v>8</v>
      </c>
      <c r="B22" s="34"/>
      <c r="C22" s="34"/>
      <c r="D22" s="34"/>
    </row>
    <row r="23" spans="1:7">
      <c r="A23" s="34"/>
      <c r="B23" s="34"/>
      <c r="C23" s="34"/>
      <c r="D23" s="34"/>
    </row>
    <row r="24" spans="1:7">
      <c r="A24" s="34"/>
      <c r="B24" s="34"/>
      <c r="C24" s="34"/>
      <c r="D24" s="34"/>
    </row>
    <row r="25" spans="1:7">
      <c r="A25" s="34"/>
      <c r="B25" s="34"/>
      <c r="C25" s="34"/>
      <c r="D25" s="34"/>
    </row>
    <row r="26" spans="1:7">
      <c r="A26" s="34"/>
      <c r="B26" s="34"/>
      <c r="C26" s="34"/>
      <c r="D26" s="34"/>
    </row>
    <row r="27" spans="1:7">
      <c r="A27" s="34"/>
      <c r="B27" s="34"/>
      <c r="C27" s="34"/>
      <c r="D27" s="34"/>
    </row>
    <row r="28" spans="1:7">
      <c r="A28" s="34"/>
      <c r="B28" s="34"/>
      <c r="C28" s="34"/>
      <c r="D28" s="34"/>
    </row>
    <row r="29" spans="1:7">
      <c r="A29" s="34"/>
      <c r="B29" s="34"/>
      <c r="C29" s="34"/>
      <c r="D29" s="34"/>
    </row>
    <row r="30" spans="1:7" ht="37.5" customHeight="1">
      <c r="A30" s="34"/>
      <c r="B30" s="34"/>
      <c r="C30" s="34"/>
      <c r="D30" s="34"/>
    </row>
    <row r="32" spans="1:7">
      <c r="A32" s="33" t="s">
        <v>10</v>
      </c>
      <c r="B32" s="34"/>
      <c r="C32" s="34"/>
      <c r="D32" s="34"/>
    </row>
    <row r="33" spans="1:4">
      <c r="A33" s="34"/>
      <c r="B33" s="34"/>
      <c r="C33" s="34"/>
      <c r="D33" s="34"/>
    </row>
    <row r="34" spans="1:4">
      <c r="A34" s="34"/>
      <c r="B34" s="34"/>
      <c r="C34" s="34"/>
      <c r="D34" s="34"/>
    </row>
    <row r="35" spans="1:4">
      <c r="A35" s="34"/>
      <c r="B35" s="34"/>
      <c r="C35" s="34"/>
      <c r="D35" s="34"/>
    </row>
    <row r="36" spans="1:4">
      <c r="A36" s="34"/>
      <c r="B36" s="34"/>
      <c r="C36" s="34"/>
      <c r="D36" s="34"/>
    </row>
    <row r="37" spans="1:4">
      <c r="A37" s="34"/>
      <c r="B37" s="34"/>
      <c r="C37" s="34"/>
      <c r="D37" s="34"/>
    </row>
    <row r="38" spans="1:4">
      <c r="A38" s="34"/>
      <c r="B38" s="34"/>
      <c r="C38" s="34"/>
      <c r="D38" s="34"/>
    </row>
    <row r="39" spans="1:4">
      <c r="A39" s="34"/>
      <c r="B39" s="34"/>
      <c r="C39" s="34"/>
      <c r="D39" s="34"/>
    </row>
    <row r="40" spans="1:4">
      <c r="A40" s="34"/>
      <c r="B40" s="34"/>
      <c r="C40" s="34"/>
      <c r="D40" s="34"/>
    </row>
    <row r="41" spans="1:4">
      <c r="A41" s="34"/>
      <c r="B41" s="34"/>
      <c r="C41" s="34"/>
      <c r="D41" s="34"/>
    </row>
    <row r="42" spans="1:4">
      <c r="A42" s="34"/>
      <c r="B42" s="34"/>
      <c r="C42" s="34"/>
      <c r="D42" s="34"/>
    </row>
  </sheetData>
  <mergeCells count="10">
    <mergeCell ref="A1:C1"/>
    <mergeCell ref="A2:C2"/>
    <mergeCell ref="A10:C10"/>
    <mergeCell ref="A22:D30"/>
    <mergeCell ref="A32:D42"/>
    <mergeCell ref="B11:C11"/>
    <mergeCell ref="B16:C16"/>
    <mergeCell ref="A17:C17"/>
    <mergeCell ref="B19:C19"/>
    <mergeCell ref="B20:C20"/>
  </mergeCells>
  <conditionalFormatting sqref="B16:C16">
    <cfRule type="cellIs" dxfId="1" priority="3" operator="equal">
      <formula>"NO"</formula>
    </cfRule>
    <cfRule type="cellIs" dxfId="0" priority="4" operator="equal">
      <formula>"SI"</formula>
    </cfRule>
  </conditionalFormatting>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dimension ref="N21"/>
  <sheetViews>
    <sheetView showGridLines="0" workbookViewId="0">
      <selection activeCell="N21" sqref="N21"/>
    </sheetView>
  </sheetViews>
  <sheetFormatPr baseColWidth="10" defaultRowHeight="15"/>
  <sheetData>
    <row r="21" spans="14:14">
      <c r="N21">
        <f>30*2.54</f>
        <v>76.2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E4:O12"/>
  <sheetViews>
    <sheetView tabSelected="1" workbookViewId="0">
      <selection activeCell="L12" sqref="L12"/>
    </sheetView>
  </sheetViews>
  <sheetFormatPr baseColWidth="10" defaultRowHeight="15"/>
  <sheetData>
    <row r="4" spans="5:15" ht="38.25">
      <c r="E4" s="40" t="s">
        <v>31</v>
      </c>
      <c r="F4" s="11" t="s">
        <v>32</v>
      </c>
      <c r="G4" s="11" t="s">
        <v>33</v>
      </c>
      <c r="H4" s="12" t="s">
        <v>34</v>
      </c>
      <c r="I4" s="42" t="s">
        <v>35</v>
      </c>
      <c r="J4" s="43"/>
      <c r="K4" s="43"/>
      <c r="L4" s="44"/>
      <c r="M4" s="13" t="s">
        <v>36</v>
      </c>
    </row>
    <row r="5" spans="5:15" ht="25.5">
      <c r="E5" s="41"/>
      <c r="F5" s="14" t="s">
        <v>37</v>
      </c>
      <c r="G5" s="14" t="s">
        <v>37</v>
      </c>
      <c r="H5" s="14" t="s">
        <v>38</v>
      </c>
      <c r="I5" s="13" t="s">
        <v>39</v>
      </c>
      <c r="J5" s="13" t="s">
        <v>40</v>
      </c>
      <c r="K5" s="13" t="s">
        <v>41</v>
      </c>
      <c r="L5" s="13" t="s">
        <v>5</v>
      </c>
      <c r="M5" s="13" t="s">
        <v>42</v>
      </c>
    </row>
    <row r="6" spans="5:15">
      <c r="E6" s="15">
        <v>20</v>
      </c>
      <c r="F6" s="15">
        <v>0.62</v>
      </c>
      <c r="G6" s="15">
        <v>0.39</v>
      </c>
      <c r="H6" s="16">
        <f>+F6*G6*E6</f>
        <v>4.8360000000000003</v>
      </c>
      <c r="I6" s="16">
        <v>0.98</v>
      </c>
      <c r="J6" s="16">
        <f>+H6*I6</f>
        <v>4.7392799999999999</v>
      </c>
      <c r="K6" s="17">
        <f>+J6*60</f>
        <v>284.35680000000002</v>
      </c>
      <c r="L6" s="17">
        <f>+K6*60</f>
        <v>17061.408000000003</v>
      </c>
      <c r="M6" s="18">
        <f>+L6/1</f>
        <v>17061.408000000003</v>
      </c>
      <c r="N6">
        <v>3929</v>
      </c>
      <c r="O6" s="27">
        <f>+L6/N6</f>
        <v>4.3424301348943759</v>
      </c>
    </row>
    <row r="7" spans="5:15">
      <c r="E7" s="15">
        <v>2</v>
      </c>
      <c r="F7" s="15">
        <v>3</v>
      </c>
      <c r="G7" s="16">
        <v>0.5</v>
      </c>
      <c r="H7" s="15">
        <f>+F7*G7*E7</f>
        <v>3</v>
      </c>
      <c r="I7" s="16">
        <v>0.98</v>
      </c>
      <c r="J7" s="16">
        <f>+H7*I7</f>
        <v>2.94</v>
      </c>
      <c r="K7" s="17">
        <f>+J7*60</f>
        <v>176.4</v>
      </c>
      <c r="L7" s="17">
        <f>+K7*60</f>
        <v>10584</v>
      </c>
      <c r="M7" s="18">
        <f>+L7/1</f>
        <v>10584</v>
      </c>
      <c r="N7">
        <v>3929</v>
      </c>
      <c r="O7" s="27">
        <f>+L7/N7</f>
        <v>2.6938152201578012</v>
      </c>
    </row>
    <row r="9" spans="5:15">
      <c r="F9" s="25">
        <f>+F6*G6</f>
        <v>0.24180000000000001</v>
      </c>
      <c r="G9">
        <f>+F7*G7</f>
        <v>1.5</v>
      </c>
    </row>
    <row r="12" spans="5:15">
      <c r="H12" s="24">
        <f>+H6+H7</f>
        <v>7.8360000000000003</v>
      </c>
      <c r="I12" s="29">
        <v>0.98</v>
      </c>
      <c r="J12">
        <f>+H12*I12</f>
        <v>7.6792800000000003</v>
      </c>
      <c r="K12">
        <f>+J12*60</f>
        <v>460.7568</v>
      </c>
      <c r="L12">
        <f>+K12*60</f>
        <v>27645.407999999999</v>
      </c>
      <c r="N12">
        <v>3929</v>
      </c>
      <c r="O12" s="28">
        <f>+L12/N12</f>
        <v>7.0362453550521762</v>
      </c>
    </row>
  </sheetData>
  <mergeCells count="2">
    <mergeCell ref="E4:E5"/>
    <mergeCell ref="I4:L4"/>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dimension ref="F1:H20"/>
  <sheetViews>
    <sheetView workbookViewId="0">
      <selection activeCell="C22" sqref="C22"/>
    </sheetView>
  </sheetViews>
  <sheetFormatPr baseColWidth="10" defaultRowHeight="15"/>
  <cols>
    <col min="6" max="6" width="15.5703125" customWidth="1"/>
    <col min="8" max="8" width="17.42578125" customWidth="1"/>
  </cols>
  <sheetData>
    <row r="1" spans="6:8" ht="15.75" thickBot="1"/>
    <row r="2" spans="6:8" ht="32.25" thickTop="1" thickBot="1">
      <c r="F2" s="19" t="s">
        <v>43</v>
      </c>
      <c r="G2" s="20" t="s">
        <v>44</v>
      </c>
      <c r="H2" s="20" t="s">
        <v>45</v>
      </c>
    </row>
    <row r="3" spans="6:8" ht="17.25" thickTop="1" thickBot="1">
      <c r="F3" s="21">
        <v>43802</v>
      </c>
      <c r="G3" s="22">
        <v>2.1</v>
      </c>
      <c r="H3" s="22">
        <v>20.9</v>
      </c>
    </row>
    <row r="4" spans="6:8" ht="17.25" thickTop="1" thickBot="1">
      <c r="F4" s="23">
        <v>43803</v>
      </c>
      <c r="G4" s="20">
        <v>3.9</v>
      </c>
      <c r="H4" s="20">
        <v>41.8</v>
      </c>
    </row>
    <row r="5" spans="6:8" ht="17.25" thickTop="1" thickBot="1">
      <c r="F5" s="23">
        <v>43804</v>
      </c>
      <c r="G5" s="20">
        <v>1.6</v>
      </c>
      <c r="H5" s="20">
        <v>19.3</v>
      </c>
    </row>
    <row r="6" spans="6:8" ht="17.25" thickTop="1" thickBot="1">
      <c r="F6" s="23">
        <v>43805</v>
      </c>
      <c r="G6" s="20">
        <v>2.5</v>
      </c>
      <c r="H6" s="20">
        <v>25.8</v>
      </c>
    </row>
    <row r="7" spans="6:8" ht="17.25" thickTop="1" thickBot="1">
      <c r="F7" s="23">
        <v>43806</v>
      </c>
      <c r="G7" s="20">
        <v>1.9</v>
      </c>
      <c r="H7" s="20">
        <v>32.200000000000003</v>
      </c>
    </row>
    <row r="8" spans="6:8" ht="17.25" thickTop="1" thickBot="1">
      <c r="F8" s="23">
        <v>43807</v>
      </c>
      <c r="G8" s="20">
        <v>4.2</v>
      </c>
      <c r="H8" s="20">
        <v>41.8</v>
      </c>
    </row>
    <row r="9" spans="6:8" ht="17.25" thickTop="1" thickBot="1">
      <c r="F9" s="23">
        <v>43808</v>
      </c>
      <c r="G9" s="20">
        <v>0.8</v>
      </c>
      <c r="H9" s="20">
        <v>17.7</v>
      </c>
    </row>
    <row r="10" spans="6:8" ht="17.25" thickTop="1" thickBot="1">
      <c r="F10" s="23">
        <v>43809</v>
      </c>
      <c r="G10" s="20">
        <v>0.8</v>
      </c>
      <c r="H10" s="20">
        <v>16.100000000000001</v>
      </c>
    </row>
    <row r="11" spans="6:8" ht="17.25" thickTop="1" thickBot="1">
      <c r="F11" s="23">
        <v>43810</v>
      </c>
      <c r="G11" s="20">
        <v>2</v>
      </c>
      <c r="H11" s="20">
        <v>19.3</v>
      </c>
    </row>
    <row r="12" spans="6:8" ht="17.25" thickTop="1" thickBot="1">
      <c r="F12" s="23">
        <v>43811</v>
      </c>
      <c r="G12" s="20">
        <v>6</v>
      </c>
      <c r="H12" s="20">
        <v>45.1</v>
      </c>
    </row>
    <row r="13" spans="6:8" ht="17.25" thickTop="1" thickBot="1">
      <c r="F13" s="23">
        <v>43812</v>
      </c>
      <c r="G13" s="20">
        <v>0.6</v>
      </c>
      <c r="H13" s="20">
        <v>16.100000000000001</v>
      </c>
    </row>
    <row r="14" spans="6:8" ht="17.25" thickTop="1" thickBot="1">
      <c r="F14" s="23">
        <v>43813</v>
      </c>
      <c r="G14" s="20">
        <v>1</v>
      </c>
      <c r="H14" s="20">
        <v>17.7</v>
      </c>
    </row>
    <row r="15" spans="6:8" ht="17.25" thickTop="1" thickBot="1">
      <c r="F15" s="23">
        <v>43814</v>
      </c>
      <c r="G15" s="20">
        <v>2.4</v>
      </c>
      <c r="H15" s="20">
        <v>30.6</v>
      </c>
    </row>
    <row r="16" spans="6:8" ht="17.25" thickTop="1" thickBot="1">
      <c r="F16" s="23">
        <v>43815</v>
      </c>
      <c r="G16" s="20">
        <v>2</v>
      </c>
      <c r="H16" s="20">
        <v>29</v>
      </c>
    </row>
    <row r="17" spans="6:8" ht="17.25" thickTop="1" thickBot="1">
      <c r="F17" s="23">
        <v>43816</v>
      </c>
      <c r="G17" s="20">
        <v>1.3</v>
      </c>
      <c r="H17" s="20">
        <v>25.8</v>
      </c>
    </row>
    <row r="18" spans="6:8" ht="17.25" thickTop="1" thickBot="1">
      <c r="F18" s="23">
        <v>43817</v>
      </c>
      <c r="G18" s="20">
        <v>2.1</v>
      </c>
      <c r="H18" s="20">
        <v>24.1</v>
      </c>
    </row>
    <row r="19" spans="6:8" ht="17.25" thickTop="1" thickBot="1">
      <c r="F19" s="23">
        <v>43818</v>
      </c>
      <c r="G19" s="20">
        <v>2.2000000000000002</v>
      </c>
      <c r="H19" s="20">
        <v>24.1</v>
      </c>
    </row>
    <row r="20" spans="6:8" ht="15.75" thickTop="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Hoja1</vt:lpstr>
      <vt:lpstr>Hoja2</vt:lpstr>
      <vt:lpstr>Hoja4</vt:lpstr>
      <vt:lpstr>VIENTO</vt:lpstr>
      <vt:lpstr>Hoja1!Área_de_impresión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Marcellino, German</dc:creator>
  <cp:lastModifiedBy>German Marcellino</cp:lastModifiedBy>
  <cp:lastPrinted>2019-05-08T00:21:26Z</cp:lastPrinted>
  <dcterms:created xsi:type="dcterms:W3CDTF">2015-02-26T18:13:54Z</dcterms:created>
  <dcterms:modified xsi:type="dcterms:W3CDTF">2021-11-29T00:47:47Z</dcterms:modified>
</cp:coreProperties>
</file>