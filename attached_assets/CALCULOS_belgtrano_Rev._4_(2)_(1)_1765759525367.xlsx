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grano 25" sheetId="1" r:id="rId4"/>
    <sheet state="visible" name="belgrano 22" sheetId="2" r:id="rId5"/>
    <sheet state="visible" name="belgrano 21" sheetId="3" r:id="rId6"/>
    <sheet state="visible" name="belgrano 20" sheetId="4" r:id="rId7"/>
    <sheet state="visible" name="belgrano 19" sheetId="5" r:id="rId8"/>
    <sheet state="visible" name="belgrano 18" sheetId="6" r:id="rId9"/>
    <sheet state="visible" name="belgrano 17" sheetId="7" r:id="rId10"/>
    <sheet state="visible" name="campo" sheetId="8" r:id="rId11"/>
    <sheet state="visible" name="belgrano16" sheetId="9" r:id="rId12"/>
    <sheet state="visible" name="LIMITES" sheetId="10" r:id="rId13"/>
    <sheet state="visible" name="LIMITES 2" sheetId="11" r:id="rId14"/>
    <sheet state="visible" name="Hoja1" sheetId="12" r:id="rId15"/>
    <sheet state="visible" name="Hoja2" sheetId="13" r:id="rId16"/>
    <sheet state="visible" name="COMPUTO" sheetId="14" r:id="rId17"/>
    <sheet state="visible" name="Hoja3" sheetId="15" r:id="rId18"/>
    <sheet state="visible" name="Hoja4" sheetId="16" r:id="rId19"/>
  </sheets>
  <definedNames/>
  <calcPr/>
  <extLst>
    <ext uri="GoogleSheetsCustomDataVersion2">
      <go:sheetsCustomData xmlns:go="http://customooxmlschemas.google.com/" r:id="rId20" roundtripDataChecksum="U2S+KNi7uFMJGEal1OqlDxnBbCj9GNcUzgiuS5NoTrQ="/>
    </ext>
  </extLst>
</workbook>
</file>

<file path=xl/sharedStrings.xml><?xml version="1.0" encoding="utf-8"?>
<sst xmlns="http://schemas.openxmlformats.org/spreadsheetml/2006/main" count="4815" uniqueCount="528">
  <si>
    <t>BELGRANO</t>
  </si>
  <si>
    <t>MEMORIA DE CALCULOS BELGRANO</t>
  </si>
  <si>
    <t>NO</t>
  </si>
  <si>
    <t>Sector</t>
  </si>
  <si>
    <t>Subsector</t>
  </si>
  <si>
    <t>Dimensiones</t>
  </si>
  <si>
    <t>Calc.</t>
  </si>
  <si>
    <t>Red.</t>
  </si>
  <si>
    <t>Factor</t>
  </si>
  <si>
    <t>(X+2)</t>
  </si>
  <si>
    <t>Ptos</t>
  </si>
  <si>
    <t>Iluminancia por Punto Monitoreado (LUX)</t>
  </si>
  <si>
    <t>Valor Max. (Lux)</t>
  </si>
  <si>
    <t>Valor Min. (Lux)</t>
  </si>
  <si>
    <t xml:space="preserve"> E mínima ≥ 
(Emedia)/2</t>
  </si>
  <si>
    <t>E. media (Lux)</t>
  </si>
  <si>
    <t>Limite Legal (Lux)</t>
  </si>
  <si>
    <t>Cumple E mínima ≥ (E media/2)</t>
  </si>
  <si>
    <t>Cumple Limite</t>
  </si>
  <si>
    <t>Uniformidad</t>
  </si>
  <si>
    <t>Limite</t>
  </si>
  <si>
    <t>Ancho</t>
  </si>
  <si>
    <t>Largo</t>
  </si>
  <si>
    <t>Alto</t>
  </si>
  <si>
    <t xml:space="preserve">Salón de Ventas </t>
  </si>
  <si>
    <t>Salón de Ventas (Linea de Cajas)</t>
  </si>
  <si>
    <t xml:space="preserve">Salon de Ventas (Atención al Cliente) </t>
  </si>
  <si>
    <t>Deposito de Linea de Cajas</t>
  </si>
  <si>
    <t>NA</t>
  </si>
  <si>
    <t>Sala de Cajero</t>
  </si>
  <si>
    <t>Tesoreria</t>
  </si>
  <si>
    <t>TOMRA</t>
  </si>
  <si>
    <t>Recepción de Mercaderia</t>
  </si>
  <si>
    <t>Panaderia</t>
  </si>
  <si>
    <t>Deposito de Panaderia</t>
  </si>
  <si>
    <t>Camara de Congelado de Panaderia</t>
  </si>
  <si>
    <t>Camara de Enfriado de Panaderia</t>
  </si>
  <si>
    <t>Laboratorio de Tortas</t>
  </si>
  <si>
    <t>Laboratorio de Fiambres</t>
  </si>
  <si>
    <t>Laboratorio de Rotiseria</t>
  </si>
  <si>
    <t>Camara de Vegetales</t>
  </si>
  <si>
    <t>Camara de Deli y Fiambres</t>
  </si>
  <si>
    <t>Camara de Congelado de Carniceria</t>
  </si>
  <si>
    <t>Camara de Congelado de Lacteos</t>
  </si>
  <si>
    <t>Camara de Enfriado de Lacteos (WC)</t>
  </si>
  <si>
    <t>Camara de Enfriado de Carnes</t>
  </si>
  <si>
    <t>Farmacia</t>
  </si>
  <si>
    <t>Sala de Tableros</t>
  </si>
  <si>
    <t>Pasillo de Costos (Trastienda)</t>
  </si>
  <si>
    <t>Pasillo de Circulacion  (Oficinas)</t>
  </si>
  <si>
    <t>Pasillo (acceso desde Costos)</t>
  </si>
  <si>
    <t>Vestuario Hombre</t>
  </si>
  <si>
    <t>Vestuario Mujer</t>
  </si>
  <si>
    <t>Sala de Entrenamiento CBL</t>
  </si>
  <si>
    <t>Oficina de Recursos Humanos</t>
  </si>
  <si>
    <t>Oficina de Seguridad e Higiene</t>
  </si>
  <si>
    <t>Sala de Reuniones</t>
  </si>
  <si>
    <t>Oficina de Jefes/Recep./UPC</t>
  </si>
  <si>
    <t>Sistemas</t>
  </si>
  <si>
    <t>Mantenimiento</t>
  </si>
  <si>
    <t>Puesto 1</t>
  </si>
  <si>
    <t>Comedor</t>
  </si>
  <si>
    <t>Gerencia</t>
  </si>
  <si>
    <t>Deposito de Insumos</t>
  </si>
  <si>
    <t>Laboratorio de Vegetales</t>
  </si>
  <si>
    <t>Claims</t>
  </si>
  <si>
    <t>Servicios Financieros</t>
  </si>
  <si>
    <t>Laboratorio de Carnes</t>
  </si>
  <si>
    <t>Laboratorio de Pollos</t>
  </si>
  <si>
    <t>Camara de Pollos</t>
  </si>
  <si>
    <t>Autoshop</t>
  </si>
  <si>
    <t>Autocenter Taller</t>
  </si>
  <si>
    <t>Sala de CCTV</t>
  </si>
  <si>
    <t>Carga Termica</t>
  </si>
  <si>
    <t>TBS</t>
  </si>
  <si>
    <t>TBH</t>
  </si>
  <si>
    <t>TG</t>
  </si>
  <si>
    <t>TGBH</t>
  </si>
  <si>
    <t>Estres xfrio</t>
  </si>
  <si>
    <t>Congelado de Panaderia</t>
  </si>
  <si>
    <t>Cajero</t>
  </si>
  <si>
    <t>Congelado de carnes</t>
  </si>
  <si>
    <t>Deli</t>
  </si>
  <si>
    <t>Congelado de lacteos</t>
  </si>
  <si>
    <t>Autocenter</t>
  </si>
  <si>
    <t>Laboratorio de carniceria</t>
  </si>
  <si>
    <t>Repositor</t>
  </si>
  <si>
    <t>MEMORIA DE CALCULOS</t>
  </si>
  <si>
    <t>Oficina Farmacia</t>
  </si>
  <si>
    <t>Deposito de Farmacia</t>
  </si>
  <si>
    <t>Camara de Deli</t>
  </si>
  <si>
    <t>Oficina de Jefes</t>
  </si>
  <si>
    <t>UPC</t>
  </si>
  <si>
    <t>Cuarto de Seguridad</t>
  </si>
  <si>
    <t># Sector</t>
  </si>
  <si>
    <t>Salón de Ventas (belgrano)</t>
  </si>
  <si>
    <t>Sala de Recuento</t>
  </si>
  <si>
    <t>Oficina de Recepción</t>
  </si>
  <si>
    <t>Tesoreria Localizada</t>
  </si>
  <si>
    <t>Cuarto de Cacheo</t>
  </si>
  <si>
    <t>Mantenimiento Localizada</t>
  </si>
  <si>
    <t>OFF</t>
  </si>
  <si>
    <t>TIPO DE ILUM.</t>
  </si>
  <si>
    <t>Tipo de Artefacto
Descarga/Led/
Incandescente</t>
  </si>
  <si>
    <t>Observaciones (1. Artefacto Sucio, 2. Artefacto afectado por el calor, 3. Artefacto Faltante, 4.Pintar Local, 5.Colocar iluminación Localizada, 6.Agregar Artefactos, 7.Recalcular Iluminación 8. Otros)</t>
  </si>
  <si>
    <t>MIXTA</t>
  </si>
  <si>
    <t>ARTIFIC</t>
  </si>
  <si>
    <t>Podio</t>
  </si>
  <si>
    <t>OFICINAS</t>
  </si>
  <si>
    <t>Halls para el publico</t>
  </si>
  <si>
    <t>Contaduria, tabulaciones, teneduria de li bros, operaciones bursatiles, lectura de reproducciones, bosquejos rapidos</t>
  </si>
  <si>
    <t>Trabajo general de oficinas, lectura de buenas reproducciones, lectura, transcripcion de escritura a mano en papel y lapiz ordinario, archivo, indices de referencia, distribucion de correspondencia</t>
  </si>
  <si>
    <t>Trabajos especiales de oficina, por ejemplo sistema de computacion de datos</t>
  </si>
  <si>
    <t>Sala de conferencias</t>
  </si>
  <si>
    <t>Circulacion</t>
  </si>
  <si>
    <t>GARAJES Y ESTACIONES DE SERVICIO</t>
  </si>
  <si>
    <t>Iluminacion general.</t>
  </si>
  <si>
    <t>Gomeria</t>
  </si>
  <si>
    <t>TABLA 2</t>
  </si>
  <si>
    <t>Intensidad minima de iluminación</t>
  </si>
  <si>
    <t>(Basada en norma IRAM-AADL J 20-06)</t>
  </si>
  <si>
    <t>Tipo de edificio, local y tarea visual</t>
  </si>
  <si>
    <t>Valor minimo de servicio de iluminacion (lux)</t>
  </si>
  <si>
    <t>VIVIENDA</t>
  </si>
  <si>
    <t>Baño:</t>
  </si>
  <si>
    <t>Iluminacion general</t>
  </si>
  <si>
    <t>Iluminacion localizada sobre espejos</t>
  </si>
  <si>
    <t>(sobre plano</t>
  </si>
  <si>
    <t>vertical)</t>
  </si>
  <si>
    <t>Dormitorio:</t>
  </si>
  <si>
    <t>Iluminacion localizada: cama, espejo</t>
  </si>
  <si>
    <t>Cocina:</t>
  </si>
  <si>
    <t>Iluminacion sobre la zona de trabajo: coci na, pileta, mesada..</t>
  </si>
  <si>
    <t>CENTROS COMERCIALES IMPORTANTES</t>
  </si>
  <si>
    <t>Deposito de mercaderias</t>
  </si>
  <si>
    <t>CENTROS COMERCIALES DE MEDIANA IMPORTANCIA</t>
  </si>
  <si>
    <t>HOTELES</t>
  </si>
  <si>
    <t>Circulaciones:</t>
  </si>
  <si>
    <t>Pasillos, palier y ascensor</t>
  </si>
  <si>
    <t>Hall de entrada</t>
  </si>
  <si>
    <t>Escalera</t>
  </si>
  <si>
    <t>Local para ropa blanca:</t>
  </si>
  <si>
    <t>Costura</t>
  </si>
  <si>
    <t>Lavanderia</t>
  </si>
  <si>
    <t>Vestuarios</t>
  </si>
  <si>
    <t>Sotano, bodegas</t>
  </si>
  <si>
    <t>Depositos</t>
  </si>
  <si>
    <t>BANCOS</t>
  </si>
  <si>
    <t>Sobre zonas de escritura y cajas</t>
  </si>
  <si>
    <t>Sala de caudales</t>
  </si>
  <si>
    <t>INDUSTRIAS ALIMENTICIAS</t>
  </si>
  <si>
    <t>Mataderos municipales:</t>
  </si>
  <si>
    <t>Recepcion</t>
  </si>
  <si>
    <t>Corrales:</t>
  </si>
  <si>
    <t>Inspeccion</t>
  </si>
  <si>
    <t>Permanencia</t>
  </si>
  <si>
    <t>Matanza</t>
  </si>
  <si>
    <t>Deshollado</t>
  </si>
  <si>
    <t>Escaldado</t>
  </si>
  <si>
    <t>Evisceracion</t>
  </si>
  <si>
    <t>Mostradores de venta</t>
  </si>
  <si>
    <t>Frigorificos:</t>
  </si>
  <si>
    <t>Camaras frias</t>
  </si>
  <si>
    <t>Salas de maquinas</t>
  </si>
  <si>
    <t>Conservas de carne:</t>
  </si>
  <si>
    <t>Corte, deshuesado, eleccion</t>
  </si>
  <si>
    <t>Coccion</t>
  </si>
  <si>
    <t>Preparacion de pates, envasado</t>
  </si>
  <si>
    <t>Esterilizacion</t>
  </si>
  <si>
    <t>Preparacion de embutidos</t>
  </si>
  <si>
    <t>Conservas de pescado y mariscos:</t>
  </si>
  <si>
    <t>Lavado y preparacion</t>
  </si>
  <si>
    <t>Envasado</t>
  </si>
  <si>
    <t>Embalaje</t>
  </si>
  <si>
    <t>Preparacion de pescado ahumado</t>
  </si>
  <si>
    <t>Secado</t>
  </si>
  <si>
    <t>Camara de secado</t>
  </si>
  <si>
    <t>Conservas de verduras y frutas:</t>
  </si>
  <si>
    <t>Recepcion y seleccion</t>
  </si>
  <si>
    <t>Preparacion mecanizada</t>
  </si>
  <si>
    <t>Camara de procesado.</t>
  </si>
  <si>
    <t>Molinos harineros:</t>
  </si>
  <si>
    <t>Deposito de granos..</t>
  </si>
  <si>
    <t>Limpieza</t>
  </si>
  <si>
    <t>Molienda y tamizado.</t>
  </si>
  <si>
    <t>Clasificacion de harinas</t>
  </si>
  <si>
    <t>Colocacion de bolsas</t>
  </si>
  <si>
    <t>Silos:</t>
  </si>
  <si>
    <t>Zona de recepcion</t>
  </si>
  <si>
    <t>Circulaciones</t>
  </si>
  <si>
    <t>Sala de comando</t>
  </si>
  <si>
    <t>Panaderias:</t>
  </si>
  <si>
    <t>Deposito de harinas.</t>
  </si>
  <si>
    <t>Amasado:</t>
  </si>
  <si>
    <t>Sobre artesas</t>
  </si>
  <si>
    <t>Coccion:</t>
  </si>
  <si>
    <t>Iluminación general.</t>
  </si>
  <si>
    <t>Delante de los hornos</t>
  </si>
  <si>
    <t>Fabrica de bizcochos:</t>
  </si>
  <si>
    <t>Local de elaboracion</t>
  </si>
  <si>
    <t>Deposito del producto elaborado</t>
  </si>
  <si>
    <t>Pastas alimenticias:</t>
  </si>
  <si>
    <t>Inspeccion y empaquetado</t>
  </si>
  <si>
    <t>Torrefacción de café:</t>
  </si>
  <si>
    <t>Deposito</t>
  </si>
  <si>
    <t>Torrefacción</t>
  </si>
  <si>
    <t>Fabrica de chocolate:</t>
  </si>
  <si>
    <t>Preparación de chocolate</t>
  </si>
  <si>
    <t>Preparación de cacao en polvo</t>
  </si>
  <si>
    <t>Usinas pasteurizadoras:</t>
  </si>
  <si>
    <t>Recepción y control de materia prima</t>
  </si>
  <si>
    <t>Pasteurizacion</t>
  </si>
  <si>
    <t>Encajonado</t>
  </si>
  <si>
    <t>Laboratorio</t>
  </si>
  <si>
    <t>Fabrica de derivados lacteos:</t>
  </si>
  <si>
    <t>Elaboracion</t>
  </si>
  <si>
    <t>Sala de maquinas</t>
  </si>
  <si>
    <t>Depositos de quesos.</t>
  </si>
  <si>
    <t>Vinos y bebidas alcoholicas:</t>
  </si>
  <si>
    <t>Recepción de materia prima</t>
  </si>
  <si>
    <t>Local de cubas:</t>
  </si>
  <si>
    <t>Curado y embotellado</t>
  </si>
  <si>
    <t>Embotellado:</t>
  </si>
  <si>
    <t>Cervezas y malterias:</t>
  </si>
  <si>
    <t>Preparación de la malta</t>
  </si>
  <si>
    <t>Trituración y colocación de la malta en bolsas</t>
  </si>
  <si>
    <t>Elaboración</t>
  </si>
  <si>
    <t>Locales de fermentacion</t>
  </si>
  <si>
    <t>Lavado y llenado</t>
  </si>
  <si>
    <t>Fabrica de azucar:</t>
  </si>
  <si>
    <t>Elaboración del azucar:</t>
  </si>
  <si>
    <t>Turbinas de trituracion</t>
  </si>
  <si>
    <t>Almacenamiento de azucar</t>
  </si>
  <si>
    <t>Embolsado</t>
  </si>
  <si>
    <t>Manómetros, niveles:</t>
  </si>
  <si>
    <t>Iluminación localizada</t>
  </si>
  <si>
    <t>Tableros de distribución y laboratorios</t>
  </si>
  <si>
    <t>Refinerías:</t>
  </si>
  <si>
    <t>Amasado sobre cada turbina</t>
  </si>
  <si>
    <t>Molienda sobre la maquina</t>
  </si>
  <si>
    <t>Empaque</t>
  </si>
  <si>
    <t>Fabricas de productos de confiteria:</t>
  </si>
  <si>
    <t>Coccion y alibración de pastas:</t>
  </si>
  <si>
    <t>Elaboración y terminación:</t>
  </si>
  <si>
    <t>METALURGICA</t>
  </si>
  <si>
    <t>Fundiciones:</t>
  </si>
  <si>
    <t>Deposito de barras y lingotes</t>
  </si>
  <si>
    <t>Arena:</t>
  </si>
  <si>
    <t>Transporte, tamizado y mezcla, manipulación automatica:</t>
  </si>
  <si>
    <t>Transportadoras, elevadores, trituradores y tamices</t>
  </si>
  <si>
    <t>Fabricación de noyos:</t>
  </si>
  <si>
    <t>Fino</t>
  </si>
  <si>
    <t>Grueso</t>
  </si>
  <si>
    <t>Deposito de placas modelos</t>
  </si>
  <si>
    <t>Zona de pesado de cargas</t>
  </si>
  <si>
    <t>Taller de moldeo:</t>
  </si>
  <si>
    <t>Iluminación localizada en moldes</t>
  </si>
  <si>
    <t>Llenado de moldes</t>
  </si>
  <si>
    <t>Desmolde</t>
  </si>
  <si>
    <t>Acerias:</t>
  </si>
  <si>
    <t>Deposito de minerales y carbon</t>
  </si>
  <si>
    <t>Zona de colado</t>
  </si>
  <si>
    <t>Trenes de laminacion</t>
  </si>
  <si>
    <t>Frague:</t>
  </si>
  <si>
    <t>Fabricación de alambre:</t>
  </si>
  <si>
    <t>Laminacion en frio..</t>
  </si>
  <si>
    <t>Laminacion en caliente</t>
  </si>
  <si>
    <t>Deposito de productos terminados</t>
  </si>
  <si>
    <t>Mecanica general:</t>
  </si>
  <si>
    <t>Deposito de materiales</t>
  </si>
  <si>
    <t>Inspeccion y control de calidad:</t>
  </si>
  <si>
    <t>Trabajo grueso: contar, control grueso de objetos de deposito y otros</t>
  </si>
  <si>
    <t>Trabajo mediano: ensamble previo</t>
  </si>
  <si>
    <t>Trabajo fino: dispositivos de alibración, mecanica de precision, instrumentos</t>
  </si>
  <si>
    <t>Trabajo muy fino: alibración e inspeccion de piezas de montaje peque</t>
  </si>
  <si>
    <t>Trabajo minucioso: instrumentos muy pequeños</t>
  </si>
  <si>
    <t>Talleres de montaje:</t>
  </si>
  <si>
    <t>Trabajo grueso: montaje de maquinas pesadas</t>
  </si>
  <si>
    <t>Trabajo mediano: montaje de maquinas, chasis de vehiculos</t>
  </si>
  <si>
    <t>Trabajo fino: Iluminación localizada</t>
  </si>
  <si>
    <t>Trabajo muy fino: instrumentos y mecanismos pequeños de precision: Iluminación localizada</t>
  </si>
  <si>
    <t>Trabajo minucioso: Iluminación localizada..</t>
  </si>
  <si>
    <t>Deposito de piezas sueltas y productos terminados:</t>
  </si>
  <si>
    <t>Areas especificas:</t>
  </si>
  <si>
    <t>Mesas, ventanillas, etc</t>
  </si>
  <si>
    <t>Elaboración de metales en laminas:</t>
  </si>
  <si>
    <t>Trabajo en banco y maquinas especiales</t>
  </si>
  <si>
    <t>Maquinas, herramientas y bancos de trabajo:</t>
  </si>
  <si>
    <t>Iluminación localizada para trabajos delicados en banco o maquina, verificación de medidas, rectificación de piezas de precision</t>
  </si>
  <si>
    <t>Trabajo de piezas pequeñas banco o maquina, rectificación de piezas medianas, fabricacion de herramientas, ajuste de maquinas</t>
  </si>
  <si>
    <t>Soldadura</t>
  </si>
  <si>
    <t>Tratamiento superficial de metales</t>
  </si>
  <si>
    <t>Pintura:</t>
  </si>
  <si>
    <t>Preparación de los elementos</t>
  </si>
  <si>
    <t>Preparación, dosaje y mezcla de colores</t>
  </si>
  <si>
    <t>Cabina de pulverizacion</t>
  </si>
  <si>
    <t>Pulido y terminacion</t>
  </si>
  <si>
    <t>Inspeccion y retoque</t>
  </si>
  <si>
    <t>DEL CALZADO</t>
  </si>
  <si>
    <t>Clasificacion, marcado y corte</t>
  </si>
  <si>
    <t>CENTRALES ELECTRICAS</t>
  </si>
  <si>
    <t>Estaciones de transformación: Exteriores:</t>
  </si>
  <si>
    <t>Circulación</t>
  </si>
  <si>
    <t>Locales de maquinas rotativas</t>
  </si>
  <si>
    <t>Locales de equipos auxiliares:</t>
  </si>
  <si>
    <t>Maquinas estaticas, interruptores y otras..</t>
  </si>
  <si>
    <t>Tableros de aparatos de control y medicion:</t>
  </si>
  <si>
    <t>Sobre el plano de lectura</t>
  </si>
  <si>
    <t>Subestaciones transformadoras:</t>
  </si>
  <si>
    <t>Exteriores</t>
  </si>
  <si>
    <t>Interiores</t>
  </si>
  <si>
    <t>CERÁMICA</t>
  </si>
  <si>
    <t>Preparación de las arcillas y amasado, molde, prensas, hornos y secadores</t>
  </si>
  <si>
    <t>Barnizado y decoración:</t>
  </si>
  <si>
    <t>Trabajos finos</t>
  </si>
  <si>
    <t>Trabajos medianos</t>
  </si>
  <si>
    <t>Inspeccion:</t>
  </si>
  <si>
    <t>DEL CUERO</t>
  </si>
  <si>
    <t>Limpieza, curtido, igualado del espesor de los cueros, sobado, barnizado, secadores, terminacion</t>
  </si>
  <si>
    <t>Inspección y trabajos especiales</t>
  </si>
  <si>
    <t>IMPRENTA</t>
  </si>
  <si>
    <t>Taller de tipografia:</t>
  </si>
  <si>
    <t>Iluminacion general, compaginacion, prensa para pruebas</t>
  </si>
  <si>
    <t>Mesa de correctores, pupitres p/composicion</t>
  </si>
  <si>
    <t>Taller de linotipos:</t>
  </si>
  <si>
    <t>Sobre maquinas en la salida de letras y sobre el teclado</t>
  </si>
  <si>
    <t>Inspeccion de impresion de colores</t>
  </si>
  <si>
    <t>Rotativas:</t>
  </si>
  <si>
    <t>Tinteros y cilindros</t>
  </si>
  <si>
    <t>Grabado: Grabado a mano:</t>
  </si>
  <si>
    <t>Iluminacion localizada</t>
  </si>
  <si>
    <t>Litografia</t>
  </si>
  <si>
    <t>JOYERIA RELOJERIA</t>
  </si>
  <si>
    <t>Zona de trabajo:</t>
  </si>
  <si>
    <t>Trabajos minuciosos.</t>
  </si>
  <si>
    <t>Corte de gemas, pulido y engarce</t>
  </si>
  <si>
    <t>MADERERA</t>
  </si>
  <si>
    <t>Aserraderos:</t>
  </si>
  <si>
    <t>Zona de corte y clasificacion</t>
  </si>
  <si>
    <t>Carpinteria:</t>
  </si>
  <si>
    <t>Zona de bancos y maquinas</t>
  </si>
  <si>
    <t>Trabajos de terminacion de inspeccion</t>
  </si>
  <si>
    <t>Manufactura de muebles:</t>
  </si>
  <si>
    <t>Seleccion del enchapado y preparacion</t>
  </si>
  <si>
    <t>Armado y terminacion</t>
  </si>
  <si>
    <t>Marqueteria</t>
  </si>
  <si>
    <t>PAPELERA</t>
  </si>
  <si>
    <t>Local de maquinas</t>
  </si>
  <si>
    <t>Corte, terminacion..</t>
  </si>
  <si>
    <t>Manufacturas de cajas:</t>
  </si>
  <si>
    <t>Encartonado fijo</t>
  </si>
  <si>
    <t>Cartones ordinarios, cajones</t>
  </si>
  <si>
    <t>QUÍMICA</t>
  </si>
  <si>
    <t>Planta de procesamiento:</t>
  </si>
  <si>
    <t>Circulacion general.</t>
  </si>
  <si>
    <t>Iluminacion general sobre escaleras y pasarelas</t>
  </si>
  <si>
    <t>Sobre aparatos:</t>
  </si>
  <si>
    <t>Iluminacion sobre plano vertical</t>
  </si>
  <si>
    <t>Iluminacion sobre mesas y pupitres</t>
  </si>
  <si>
    <t>Laboratorio de ensayo y control:</t>
  </si>
  <si>
    <t>Iluminacion sobre el plano de lectura de aparatos</t>
  </si>
  <si>
    <t>Caucho:</t>
  </si>
  <si>
    <t>Preparacion de la materia prima</t>
  </si>
  <si>
    <t>Fabricacion de neumaticos:</t>
  </si>
  <si>
    <t>Vulcanizacion de las envolturas y camaras de aire</t>
  </si>
  <si>
    <t>Jabones:</t>
  </si>
  <si>
    <t>Iluminacion general de las distintas operaciones</t>
  </si>
  <si>
    <t>Panel de control</t>
  </si>
  <si>
    <t>Pinturas:</t>
  </si>
  <si>
    <t>Procesos automaticos</t>
  </si>
  <si>
    <t>Mezcla de pinturas..</t>
  </si>
  <si>
    <t>Combinacion de colores</t>
  </si>
  <si>
    <t>Plasticos:</t>
  </si>
  <si>
    <t>Calandrado, extrusion, inyeccion, compresion y moldeado por soplado</t>
  </si>
  <si>
    <t>Fabricacion de laminas, conformado, maquinado, fresado, pulido, cementado y recortado</t>
  </si>
  <si>
    <t>Deposito, almacenes y salas de empaque:</t>
  </si>
  <si>
    <t>Piezas grandes</t>
  </si>
  <si>
    <t>Piezas peque</t>
  </si>
  <si>
    <t>Expedicion de mercaderias</t>
  </si>
  <si>
    <t>DEL TABACO</t>
  </si>
  <si>
    <t>Proceso completo</t>
  </si>
  <si>
    <t>TEXTIL</t>
  </si>
  <si>
    <t>Tejidos de algodon y lino:</t>
  </si>
  <si>
    <t>Mezcla, cardado, estirado</t>
  </si>
  <si>
    <t>Torcido, peinado, hilado, husos</t>
  </si>
  <si>
    <t>Urdimbre:</t>
  </si>
  <si>
    <t>Sobre los peines</t>
  </si>
  <si>
    <t>Tejido:</t>
  </si>
  <si>
    <t>Telas claras y medianas</t>
  </si>
  <si>
    <t>Telas oscuras</t>
  </si>
  <si>
    <t>Lana:</t>
  </si>
  <si>
    <t>Cardado, lavado, peinado, retorcido, tintura</t>
  </si>
  <si>
    <t>Lavada, urdimbre</t>
  </si>
  <si>
    <t>Tejidos:</t>
  </si>
  <si>
    <t>Telas ocuras</t>
  </si>
  <si>
    <t>Maquinas de tejidos de punto</t>
  </si>
  <si>
    <t>Seda natural y sintetica:</t>
  </si>
  <si>
    <t>Embebido, teo texturado</t>
  </si>
  <si>
    <t>Urdimbre</t>
  </si>
  <si>
    <t>Hilado</t>
  </si>
  <si>
    <t>Yute:</t>
  </si>
  <si>
    <t>Hilado, tejido con lanzaderas, devanado</t>
  </si>
  <si>
    <t>Calandrado</t>
  </si>
  <si>
    <t>DEL VESTIDO</t>
  </si>
  <si>
    <t>Sombreros:</t>
  </si>
  <si>
    <t>Limpieza, tintura, terminacion, forma, alisado, planchado</t>
  </si>
  <si>
    <t>Vestimenta:</t>
  </si>
  <si>
    <t>Sobre maquinas</t>
  </si>
  <si>
    <t>Manual</t>
  </si>
  <si>
    <t>Fabrica de guantes:</t>
  </si>
  <si>
    <t>Prensa, tejidos, muestreo, corte</t>
  </si>
  <si>
    <t>Control</t>
  </si>
  <si>
    <t>DEL VIDRIO</t>
  </si>
  <si>
    <t>Sala de mezclado:</t>
  </si>
  <si>
    <t>Zona de dosificacion</t>
  </si>
  <si>
    <t>Local de horno</t>
  </si>
  <si>
    <t>Local de manufactura: mecanica: sobre maquinas:</t>
  </si>
  <si>
    <t>Manual:</t>
  </si>
  <si>
    <t>Corte, pulido y biselado</t>
  </si>
  <si>
    <t>Terminacion general.</t>
  </si>
  <si>
    <t>General</t>
  </si>
  <si>
    <t>TABLA 3</t>
  </si>
  <si>
    <t>Relacion de maximas luminancias</t>
  </si>
  <si>
    <t>Zonas del campo visual</t>
  </si>
  <si>
    <t>Relacion de luminancias</t>
  </si>
  <si>
    <t>con la tarea visual</t>
  </si>
  <si>
    <t>Campo visual central (Cono de 30 grados de abertura)</t>
  </si>
  <si>
    <t>Campo visual periferico (Cono de 90 grados de abertura)</t>
  </si>
  <si>
    <t>Entre la fuente de luz y el fondo sobre el cual se destaca</t>
  </si>
  <si>
    <t>Entre dos puntos cualesquiera del campo visual</t>
  </si>
  <si>
    <t>TABLA 4</t>
  </si>
  <si>
    <t>(En funcion de la iluminancia localizada)</t>
  </si>
  <si>
    <t>Localizada</t>
  </si>
  <si>
    <t>250 1x</t>
  </si>
  <si>
    <t>125 1x</t>
  </si>
  <si>
    <t>500 1x</t>
  </si>
  <si>
    <t>1.000 1x</t>
  </si>
  <si>
    <t>300 1x</t>
  </si>
  <si>
    <t>2.500 1x</t>
  </si>
  <si>
    <t>5.000 1x</t>
  </si>
  <si>
    <t>600 1x</t>
  </si>
  <si>
    <t>10.000 1x</t>
  </si>
  <si>
    <t>700 1x</t>
  </si>
  <si>
    <t>2. Color</t>
  </si>
  <si>
    <t>Los valores a utilizar para la identificación de lugares y objetos serán los establecidos por las normas IRAM N. 10.005; 2507 e IRAM DEF D 10-54.</t>
  </si>
  <si>
    <t>Según la norma IRAM-DEF D 10-54 se utilizarán los siguientes colores:</t>
  </si>
  <si>
    <t>Amarillo:</t>
  </si>
  <si>
    <t>05-1-020</t>
  </si>
  <si>
    <t>Naranja:</t>
  </si>
  <si>
    <t>01-1-040</t>
  </si>
  <si>
    <t>Verde:</t>
  </si>
  <si>
    <t>01-1-120</t>
  </si>
  <si>
    <t>Rojo:</t>
  </si>
  <si>
    <t>03-1-080</t>
  </si>
  <si>
    <t>Azul:</t>
  </si>
  <si>
    <t>08-1-070</t>
  </si>
  <si>
    <t>Blanco - Negro - Gris:</t>
  </si>
  <si>
    <t>09-1-060</t>
  </si>
  <si>
    <t>Violeta :</t>
  </si>
  <si>
    <t>10-1-020</t>
  </si>
  <si>
    <t>TABLA 1</t>
  </si>
  <si>
    <t>Intensidad media de iluminación para diversas</t>
  </si>
  <si>
    <t>Altura de montaje de las luminarias 4 metros, medidas desde el piso.</t>
  </si>
  <si>
    <t>Clases de tarea visual</t>
  </si>
  <si>
    <t>Iluminación sobre</t>
  </si>
  <si>
    <t>Ejemplos de tareas visuales</t>
  </si>
  <si>
    <t>plano de trabajo (lux)</t>
  </si>
  <si>
    <t>Visión ocasional solamente</t>
  </si>
  <si>
    <t>Para permitir movimientos seguros por ej. En lugares de poco transito:</t>
  </si>
  <si>
    <t xml:space="preserve">Sala de calderas, deposito de materiales voluminosos y otros. </t>
  </si>
  <si>
    <t>Tareas intermitentes ordinarias y fáciles, con contrastes fuertes.</t>
  </si>
  <si>
    <t>100 a 300</t>
  </si>
  <si>
    <t xml:space="preserve">Trabajos simples, intermitentes y mecánicos inspección general y contado de partes de stock, colocación de maquinaria pesada. </t>
  </si>
  <si>
    <t>Tarea moderadamente criticas y prolongadas, con detalles medianos.</t>
  </si>
  <si>
    <t>300 a 750</t>
  </si>
  <si>
    <t xml:space="preserve">Trabajos medianos, mecánicos y manuales, inspección y montaje; trabajos comunes de oficina, tales como: lectura, escritura y archivo. </t>
  </si>
  <si>
    <t>Tareas severas y prolongadas y de poco contraste.</t>
  </si>
  <si>
    <t>750 a 1500</t>
  </si>
  <si>
    <t xml:space="preserve">Trabajos finos, mecánicos y manuales, montajes e inspección; pintura extrafina, sopleteado, costura de ropa oscura. </t>
  </si>
  <si>
    <t>Tareas muy severas y prolongadas, con detalles minuciosos o muy poco contraste.</t>
  </si>
  <si>
    <t>1500 a 3000</t>
  </si>
  <si>
    <t xml:space="preserve">Montaje e inspección de mecanismos delicados, fabricación de herramientas y matrices; inspección con calibrador, trabajo de molienda fina. </t>
  </si>
  <si>
    <t>Trabajo fino de relojería y reparación.</t>
  </si>
  <si>
    <t>Tareas excepcionales, difíciles o importantes</t>
  </si>
  <si>
    <t>5000 a 10.000</t>
  </si>
  <si>
    <t xml:space="preserve">Casos especiales, como por ejemplo: iluminación del campo operatorio en una sala de cirugía. </t>
  </si>
  <si>
    <t>Este sistema no puede suministrar una iluminación menor de 30 luxes a 80 cm. del suelo.</t>
  </si>
  <si>
    <t>A su vez debe ponerse en servicio en el momento de corte de energía eléctrica, facilitando la evacuación del personal en caso necesario e iluminando los lugares de riesgo.</t>
  </si>
  <si>
    <t>PETRO GRANDE</t>
  </si>
  <si>
    <t>Tiempo Exposicion</t>
  </si>
  <si>
    <t>Tiempo que puede estar expuesto</t>
  </si>
  <si>
    <t>Fraccion</t>
  </si>
  <si>
    <t>&gt;  a 1 No Cumple</t>
  </si>
  <si>
    <t>Tiempo Exposicion (min)</t>
  </si>
  <si>
    <t>Tiempo que puede estar expuesto (min)</t>
  </si>
  <si>
    <t>Dosis Medida (%)</t>
  </si>
  <si>
    <t>%</t>
  </si>
  <si>
    <t>Tiempo Total de Exposición (3 Horas)</t>
  </si>
  <si>
    <t xml:space="preserve">Min </t>
  </si>
  <si>
    <t>Tiempo de Medición (Minutos)</t>
  </si>
  <si>
    <t>Dosis (%)</t>
  </si>
  <si>
    <t>Dosis Proyectada en Tres Horas (%)</t>
  </si>
  <si>
    <t>Jornada (4 Horas)</t>
  </si>
  <si>
    <t>Tiempo de Integración (Minutos)</t>
  </si>
  <si>
    <t xml:space="preserve">Dosis Proyectada Jornada Total (%) </t>
  </si>
  <si>
    <t>Jornada (8 Horas)</t>
  </si>
  <si>
    <t>Dosis Proyectada Jornada Total (%) 8 Hs</t>
  </si>
  <si>
    <t>2,77777778 × 10-7 kilómetros hora</t>
  </si>
  <si>
    <t>FACTOR</t>
  </si>
  <si>
    <t>FORMULA INTERIOR</t>
  </si>
  <si>
    <t># Estab.</t>
  </si>
  <si>
    <t>Nombre Establecimiento</t>
  </si>
  <si>
    <t>TIPO</t>
  </si>
  <si>
    <t>Iluminación</t>
  </si>
  <si>
    <t>Stress x Frio</t>
  </si>
  <si>
    <t>Ruido</t>
  </si>
  <si>
    <t>Store #1020 Tucumán</t>
  </si>
  <si>
    <t>SC</t>
  </si>
  <si>
    <t>TIENDA #1033 RIO SALÍ</t>
  </si>
  <si>
    <t xml:space="preserve">CHMAS </t>
  </si>
  <si>
    <t>TIENDA # 1082 TUCUMAN, AV JUJUY</t>
  </si>
  <si>
    <t>TIENDA # 1088 CONCEPCIÓN</t>
  </si>
  <si>
    <t>TIENDA # 1106 TUCUMAN, EJERCITO DEL NORTE</t>
  </si>
  <si>
    <t>Deposito de Alta Merma</t>
  </si>
  <si>
    <t>ILUM.</t>
  </si>
  <si>
    <t>OBSERVACIONES</t>
  </si>
  <si>
    <t>M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</si>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</sst>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rgb="FFFFFFFF"/>
      <name val="Times New Roman"/>
    </font>
    <font>
      <sz val="11.0"/>
      <color theme="1"/>
      <name val="Calibri"/>
    </font>
    <font>
      <b/>
      <sz val="11.0"/>
      <color theme="1"/>
      <name val="Times New Roman"/>
    </font>
    <font>
      <b/>
      <sz val="11.0"/>
      <color rgb="FF000000"/>
      <name val="Times New Roman"/>
    </font>
    <font/>
    <font>
      <b/>
      <sz val="10.0"/>
      <color rgb="FF000000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b/>
      <sz val="11.0"/>
      <color rgb="FFFF0000"/>
      <name val="Times New Roman"/>
    </font>
    <font>
      <b/>
      <sz val="9.0"/>
      <color rgb="FFFFFFFF"/>
      <name val="Times New Roman"/>
    </font>
    <font>
      <sz val="10.0"/>
      <color theme="1"/>
      <name val="Times New Roman"/>
    </font>
    <font>
      <sz val="10.0"/>
      <color theme="1"/>
      <name val="Calibri"/>
    </font>
    <font>
      <b/>
      <sz val="10.0"/>
      <color rgb="FFFF0000"/>
      <name val="Times New Roman"/>
    </font>
    <font>
      <color theme="1"/>
      <name val="Calibri"/>
      <scheme val="minor"/>
    </font>
    <font>
      <sz val="13.0"/>
      <color theme="1"/>
      <name val="Calibri"/>
    </font>
    <font>
      <b/>
      <sz val="18.0"/>
      <color theme="1"/>
      <name val="Times New Roman"/>
    </font>
    <font>
      <b/>
      <sz val="18.0"/>
      <color rgb="FF000000"/>
      <name val="Times New Roman"/>
    </font>
    <font>
      <b/>
      <sz val="18.0"/>
      <color theme="1"/>
      <name val="Calibri"/>
    </font>
    <font>
      <sz val="18.0"/>
      <color theme="1"/>
      <name val="Times New Roman"/>
    </font>
    <font>
      <sz val="18.0"/>
      <color rgb="FF000000"/>
      <name val="Times New Roman"/>
    </font>
    <font>
      <sz val="18.0"/>
      <color theme="1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DBE5F1"/>
        <bgColor rgb="FFDBE5F1"/>
      </patternFill>
    </fill>
  </fills>
  <borders count="27">
    <border/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shrinkToFit="0" vertical="center" wrapText="1"/>
    </xf>
    <xf borderId="2" fillId="0" fontId="3" numFmtId="0" xfId="0" applyBorder="1" applyFont="1"/>
    <xf borderId="0" fillId="0" fontId="4" numFmtId="0" xfId="0" applyAlignment="1" applyFont="1">
      <alignment horizontal="center"/>
    </xf>
    <xf borderId="3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3" fillId="3" fontId="7" numFmtId="0" xfId="0" applyAlignment="1" applyBorder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3" fontId="5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13" fillId="0" fontId="6" numFmtId="0" xfId="0" applyBorder="1" applyFont="1"/>
    <xf borderId="2" fillId="0" fontId="6" numFmtId="0" xfId="0" applyBorder="1" applyFont="1"/>
    <xf borderId="14" fillId="0" fontId="6" numFmtId="0" xfId="0" applyBorder="1" applyFont="1"/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left" vertical="center"/>
    </xf>
    <xf borderId="12" fillId="4" fontId="8" numFmtId="0" xfId="0" applyAlignment="1" applyBorder="1" applyFill="1" applyFont="1">
      <alignment horizontal="center" vertical="center"/>
    </xf>
    <xf borderId="3" fillId="0" fontId="9" numFmtId="1" xfId="0" applyAlignment="1" applyBorder="1" applyFont="1" applyNumberFormat="1">
      <alignment horizontal="center" vertical="center"/>
    </xf>
    <xf borderId="3" fillId="5" fontId="8" numFmtId="1" xfId="0" applyAlignment="1" applyBorder="1" applyFill="1" applyFont="1" applyNumberFormat="1">
      <alignment horizontal="center" vertical="center"/>
    </xf>
    <xf borderId="3" fillId="6" fontId="8" numFmtId="0" xfId="0" applyAlignment="1" applyBorder="1" applyFill="1" applyFont="1">
      <alignment horizontal="center" vertical="center"/>
    </xf>
    <xf borderId="3" fillId="5" fontId="8" numFmtId="0" xfId="0" applyAlignment="1" applyBorder="1" applyFont="1">
      <alignment horizontal="center" vertical="center"/>
    </xf>
    <xf borderId="15" fillId="0" fontId="6" numFmtId="0" xfId="0" applyBorder="1" applyFont="1"/>
    <xf borderId="11" fillId="0" fontId="9" numFmtId="1" xfId="0" applyAlignment="1" applyBorder="1" applyFont="1" applyNumberFormat="1">
      <alignment horizontal="center" vertical="center"/>
    </xf>
    <xf borderId="16" fillId="5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center" vertical="center"/>
    </xf>
    <xf borderId="3" fillId="0" fontId="8" numFmtId="2" xfId="0" applyAlignment="1" applyBorder="1" applyFont="1" applyNumberFormat="1">
      <alignment horizontal="center" vertical="center"/>
    </xf>
    <xf borderId="12" fillId="0" fontId="9" numFmtId="1" xfId="0" applyAlignment="1" applyBorder="1" applyFont="1" applyNumberFormat="1">
      <alignment horizontal="center" vertical="center"/>
    </xf>
    <xf borderId="12" fillId="0" fontId="8" numFmtId="1" xfId="0" applyAlignment="1" applyBorder="1" applyFont="1" applyNumberFormat="1">
      <alignment horizontal="center" vertical="center"/>
    </xf>
    <xf borderId="12" fillId="5" fontId="8" numFmtId="1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vertical="center"/>
    </xf>
    <xf borderId="12" fillId="0" fontId="8" numFmtId="2" xfId="0" applyAlignment="1" applyBorder="1" applyFont="1" applyNumberFormat="1">
      <alignment horizontal="center" vertical="center"/>
    </xf>
    <xf borderId="12" fillId="0" fontId="8" numFmtId="0" xfId="0" applyAlignment="1" applyBorder="1" applyFont="1">
      <alignment vertical="center"/>
    </xf>
    <xf borderId="12" fillId="5" fontId="8" numFmtId="0" xfId="0" applyAlignment="1" applyBorder="1" applyFont="1">
      <alignment horizontal="left" vertical="center"/>
    </xf>
    <xf borderId="17" fillId="5" fontId="8" numFmtId="0" xfId="0" applyAlignment="1" applyBorder="1" applyFont="1">
      <alignment horizontal="center" vertical="center"/>
    </xf>
    <xf borderId="18" fillId="5" fontId="8" numFmtId="0" xfId="0" applyAlignment="1" applyBorder="1" applyFont="1">
      <alignment horizontal="center" vertical="center"/>
    </xf>
    <xf borderId="12" fillId="0" fontId="1" numFmtId="0" xfId="0" applyAlignment="1" applyBorder="1" applyFont="1">
      <alignment readingOrder="0"/>
    </xf>
    <xf borderId="12" fillId="0" fontId="1" numFmtId="0" xfId="0" applyBorder="1" applyFont="1"/>
    <xf borderId="12" fillId="4" fontId="10" numFmtId="0" xfId="0" applyAlignment="1" applyBorder="1" applyFont="1">
      <alignment horizontal="center"/>
    </xf>
    <xf borderId="19" fillId="4" fontId="10" numFmtId="0" xfId="0" applyAlignment="1" applyBorder="1" applyFont="1">
      <alignment horizontal="center"/>
    </xf>
    <xf borderId="20" fillId="2" fontId="2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22" fillId="0" fontId="6" numFmtId="0" xfId="0" applyBorder="1" applyFont="1"/>
    <xf borderId="3" fillId="0" fontId="8" numFmtId="1" xfId="0" applyAlignment="1" applyBorder="1" applyFont="1" applyNumberFormat="1">
      <alignment horizontal="center" vertical="center"/>
    </xf>
    <xf borderId="12" fillId="7" fontId="8" numFmtId="1" xfId="0" applyAlignment="1" applyBorder="1" applyFill="1" applyFont="1" applyNumberFormat="1">
      <alignment horizontal="center" vertical="center"/>
    </xf>
    <xf borderId="3" fillId="7" fontId="8" numFmtId="1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20" fillId="2" fontId="11" numFmtId="0" xfId="0" applyAlignment="1" applyBorder="1" applyFont="1">
      <alignment horizontal="center" shrinkToFit="0" vertical="center" wrapText="1"/>
    </xf>
    <xf borderId="23" fillId="2" fontId="11" numFmtId="0" xfId="0" applyAlignment="1" applyBorder="1" applyFont="1">
      <alignment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vertical="center"/>
    </xf>
    <xf borderId="12" fillId="3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left" vertical="center"/>
    </xf>
    <xf borderId="3" fillId="0" fontId="9" numFmtId="2" xfId="0" applyAlignment="1" applyBorder="1" applyFont="1" applyNumberFormat="1">
      <alignment horizontal="center" vertical="center"/>
    </xf>
    <xf borderId="12" fillId="4" fontId="9" numFmtId="0" xfId="0" applyAlignment="1" applyBorder="1" applyFont="1">
      <alignment horizontal="center" vertical="center"/>
    </xf>
    <xf borderId="3" fillId="6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left" vertical="center"/>
    </xf>
    <xf borderId="11" fillId="0" fontId="12" numFmtId="0" xfId="0" applyAlignment="1" applyBorder="1" applyFont="1">
      <alignment horizontal="center" vertical="center"/>
    </xf>
    <xf borderId="12" fillId="6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vertical="center"/>
    </xf>
    <xf borderId="12" fillId="0" fontId="12" numFmtId="0" xfId="0" applyAlignment="1" applyBorder="1" applyFont="1">
      <alignment horizontal="center" vertical="center"/>
    </xf>
    <xf borderId="12" fillId="0" fontId="9" numFmtId="2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vertical="center"/>
    </xf>
    <xf borderId="12" fillId="0" fontId="13" numFmtId="0" xfId="0" applyAlignment="1" applyBorder="1" applyFont="1">
      <alignment vertical="center"/>
    </xf>
    <xf borderId="19" fillId="4" fontId="14" numFmtId="0" xfId="0" applyAlignment="1" applyBorder="1" applyFont="1">
      <alignment horizontal="center"/>
    </xf>
    <xf borderId="0" fillId="0" fontId="15" numFmtId="0" xfId="0" applyFont="1"/>
    <xf borderId="12" fillId="4" fontId="9" numFmtId="0" xfId="0" applyAlignment="1" applyBorder="1" applyFont="1">
      <alignment horizontal="center"/>
    </xf>
    <xf borderId="12" fillId="0" fontId="9" numFmtId="0" xfId="0" applyAlignment="1" applyBorder="1" applyFont="1">
      <alignment horizontal="center"/>
    </xf>
    <xf borderId="12" fillId="0" fontId="9" numFmtId="2" xfId="0" applyAlignment="1" applyBorder="1" applyFont="1" applyNumberFormat="1">
      <alignment horizontal="center"/>
    </xf>
    <xf borderId="12" fillId="0" fontId="3" numFmtId="0" xfId="0" applyBorder="1" applyFont="1"/>
    <xf borderId="19" fillId="4" fontId="9" numFmtId="0" xfId="0" applyAlignment="1" applyBorder="1" applyFont="1">
      <alignment horizontal="center"/>
    </xf>
    <xf borderId="0" fillId="0" fontId="16" numFmtId="0" xfId="0" applyFont="1"/>
    <xf borderId="4" fillId="5" fontId="17" numFmtId="0" xfId="0" applyAlignment="1" applyBorder="1" applyFont="1">
      <alignment horizontal="center" shrinkToFit="0" vertical="center" wrapText="1"/>
    </xf>
    <xf borderId="3" fillId="3" fontId="18" numFmtId="0" xfId="0" applyAlignment="1" applyBorder="1" applyFon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12" fillId="5" fontId="1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/>
    </xf>
    <xf borderId="3" fillId="0" fontId="20" numFmtId="0" xfId="0" applyAlignment="1" applyBorder="1" applyFont="1">
      <alignment horizontal="center" shrinkToFit="0" vertical="center" wrapText="1"/>
    </xf>
    <xf borderId="12" fillId="3" fontId="18" numFmtId="0" xfId="0" applyAlignment="1" applyBorder="1" applyFont="1">
      <alignment horizontal="center" vertical="center"/>
    </xf>
    <xf borderId="12" fillId="3" fontId="21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left" vertical="center"/>
    </xf>
    <xf borderId="12" fillId="4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/>
    </xf>
    <xf borderId="12" fillId="0" fontId="22" numFmtId="0" xfId="0" applyBorder="1" applyFont="1"/>
    <xf borderId="12" fillId="0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left" vertical="center"/>
    </xf>
    <xf borderId="12" fillId="0" fontId="21" numFmtId="2" xfId="0" applyAlignment="1" applyBorder="1" applyFont="1" applyNumberFormat="1">
      <alignment horizontal="center" vertical="center"/>
    </xf>
    <xf borderId="12" fillId="0" fontId="21" numFmtId="0" xfId="0" applyAlignment="1" applyBorder="1" applyFont="1">
      <alignment vertical="center"/>
    </xf>
    <xf borderId="12" fillId="0" fontId="20" numFmtId="0" xfId="0" applyAlignment="1" applyBorder="1" applyFont="1">
      <alignment horizontal="center" vertical="center"/>
    </xf>
    <xf borderId="12" fillId="5" fontId="21" numFmtId="0" xfId="0" applyAlignment="1" applyBorder="1" applyFont="1">
      <alignment horizontal="left" vertical="center"/>
    </xf>
    <xf borderId="12" fillId="0" fontId="20" numFmtId="0" xfId="0" applyBorder="1" applyFont="1"/>
    <xf borderId="3" fillId="0" fontId="9" numFmtId="0" xfId="0" applyAlignment="1" applyBorder="1" applyFont="1">
      <alignment vertical="center"/>
    </xf>
    <xf borderId="24" fillId="4" fontId="9" numFmtId="0" xfId="0" applyAlignment="1" applyBorder="1" applyFont="1">
      <alignment horizontal="center"/>
    </xf>
    <xf borderId="12" fillId="0" fontId="9" numFmtId="0" xfId="0" applyAlignment="1" applyBorder="1" applyFont="1">
      <alignment shrinkToFit="0" vertical="center" wrapText="1"/>
    </xf>
    <xf borderId="25" fillId="0" fontId="9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6" fillId="0" fontId="9" numFmtId="1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/>
    </xf>
    <xf borderId="12" fillId="0" fontId="23" numFmtId="0" xfId="0" applyAlignment="1" applyBorder="1" applyFont="1">
      <alignment horizontal="center" vertical="center"/>
    </xf>
    <xf borderId="12" fillId="3" fontId="9" numFmtId="0" xfId="0" applyAlignment="1" applyBorder="1" applyFont="1">
      <alignment horizontal="center"/>
    </xf>
    <xf borderId="12" fillId="3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12</xdr:row>
      <xdr:rowOff>95250</xdr:rowOff>
    </xdr:from>
    <xdr:ext cx="4257675" cy="491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39.43"/>
    <col customWidth="1" min="4" max="4" width="13.43"/>
    <col customWidth="1" min="5" max="5" width="8.29"/>
    <col customWidth="1" min="6" max="6" width="6.86"/>
    <col customWidth="1" min="7" max="7" width="7.57"/>
    <col customWidth="1" min="8" max="8" width="6.86"/>
    <col customWidth="1" min="9" max="9" width="9.43"/>
    <col customWidth="1" min="10" max="10" width="22.29"/>
    <col customWidth="1" min="11" max="11" width="8.14"/>
    <col customWidth="1" min="12" max="20" width="5.71"/>
    <col customWidth="1" hidden="1" min="21" max="22" width="8.0"/>
    <col customWidth="1" min="23" max="23" width="6.29"/>
    <col customWidth="1" min="24" max="24" width="16.0"/>
    <col customWidth="1" min="25" max="25" width="15.0"/>
    <col customWidth="1" min="26" max="26" width="8.86"/>
    <col customWidth="1" min="27" max="27" width="9.29"/>
    <col customWidth="1" min="28" max="28" width="15.14"/>
    <col customWidth="1" min="29" max="29" width="14.43"/>
    <col customWidth="1" min="30" max="30" width="11.43"/>
    <col customWidth="1" min="31" max="31" width="12.43"/>
  </cols>
  <sheetData>
    <row r="1">
      <c r="A1" s="1"/>
      <c r="B1" s="1"/>
      <c r="C1" s="2" t="s">
        <v>0</v>
      </c>
      <c r="W1" s="1"/>
      <c r="X1" s="1"/>
      <c r="Y1" s="1"/>
      <c r="Z1" s="1"/>
      <c r="AA1" s="1"/>
      <c r="AB1" s="1"/>
      <c r="AC1" s="1"/>
      <c r="AD1" s="1"/>
      <c r="AE1" s="1"/>
    </row>
    <row r="2" ht="15.0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1"/>
      <c r="AE2" s="5" t="s">
        <v>2</v>
      </c>
    </row>
    <row r="3" ht="35.25" customHeight="1">
      <c r="A3" s="1"/>
      <c r="B3" s="6" t="s">
        <v>3</v>
      </c>
      <c r="C3" s="6" t="s">
        <v>4</v>
      </c>
      <c r="D3" s="7" t="s">
        <v>5</v>
      </c>
      <c r="E3" s="8"/>
      <c r="F3" s="9"/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8"/>
      <c r="N3" s="8"/>
      <c r="O3" s="8"/>
      <c r="P3" s="8"/>
      <c r="Q3" s="8"/>
      <c r="R3" s="8"/>
      <c r="S3" s="8"/>
      <c r="T3" s="10"/>
      <c r="U3" s="11" t="s">
        <v>12</v>
      </c>
      <c r="V3" s="11" t="s">
        <v>13</v>
      </c>
      <c r="W3" s="12" t="s">
        <v>14</v>
      </c>
      <c r="X3" s="13"/>
      <c r="Y3" s="14"/>
      <c r="Z3" s="6" t="s">
        <v>15</v>
      </c>
      <c r="AA3" s="6" t="s">
        <v>16</v>
      </c>
      <c r="AB3" s="6" t="s">
        <v>17</v>
      </c>
      <c r="AC3" s="6" t="s">
        <v>18</v>
      </c>
      <c r="AD3" s="6" t="s">
        <v>19</v>
      </c>
      <c r="AE3" s="6" t="s">
        <v>20</v>
      </c>
    </row>
    <row r="4" ht="33.0" customHeight="1">
      <c r="A4" s="1"/>
      <c r="B4" s="15"/>
      <c r="C4" s="15"/>
      <c r="D4" s="16" t="s">
        <v>21</v>
      </c>
      <c r="E4" s="16" t="s">
        <v>22</v>
      </c>
      <c r="F4" s="16" t="s">
        <v>23</v>
      </c>
      <c r="G4" s="15"/>
      <c r="H4" s="15"/>
      <c r="I4" s="15"/>
      <c r="J4" s="15"/>
      <c r="K4" s="15"/>
      <c r="L4" s="17">
        <v>1.0</v>
      </c>
      <c r="M4" s="17">
        <v>2.0</v>
      </c>
      <c r="N4" s="17">
        <v>3.0</v>
      </c>
      <c r="O4" s="17">
        <v>4.0</v>
      </c>
      <c r="P4" s="17">
        <v>5.0</v>
      </c>
      <c r="Q4" s="17">
        <v>6.0</v>
      </c>
      <c r="R4" s="17">
        <v>7.0</v>
      </c>
      <c r="S4" s="17">
        <v>8.0</v>
      </c>
      <c r="T4" s="17">
        <v>9.0</v>
      </c>
      <c r="U4" s="15"/>
      <c r="V4" s="15"/>
      <c r="W4" s="18"/>
      <c r="X4" s="19"/>
      <c r="Y4" s="20"/>
      <c r="Z4" s="15"/>
      <c r="AA4" s="15"/>
      <c r="AB4" s="15"/>
      <c r="AC4" s="15"/>
      <c r="AD4" s="15"/>
      <c r="AE4" s="15"/>
    </row>
    <row r="5" ht="24.0" customHeight="1">
      <c r="A5" s="1"/>
      <c r="B5" s="21">
        <v>1.0</v>
      </c>
      <c r="C5" s="22" t="s">
        <v>24</v>
      </c>
      <c r="D5" s="21">
        <v>58.0</v>
      </c>
      <c r="E5" s="21">
        <v>70.0</v>
      </c>
      <c r="F5" s="21">
        <v>4.25</v>
      </c>
      <c r="G5" s="21">
        <f>+(D5*E5)/(F5*(D5+E5))</f>
        <v>7.463235294</v>
      </c>
      <c r="H5" s="21">
        <v>4.0</v>
      </c>
      <c r="I5" s="21">
        <v>2.0</v>
      </c>
      <c r="J5" s="21">
        <f>+H5+I5</f>
        <v>6</v>
      </c>
      <c r="K5" s="21">
        <f>POWER(J5,2)</f>
        <v>36</v>
      </c>
      <c r="L5" s="23"/>
      <c r="M5" s="23"/>
      <c r="N5" s="23"/>
      <c r="O5" s="23"/>
      <c r="P5" s="23"/>
      <c r="Q5" s="23"/>
      <c r="R5" s="23"/>
      <c r="S5" s="23"/>
      <c r="T5" s="23"/>
      <c r="U5" s="24">
        <f>MAX(L5:T7)</f>
        <v>0</v>
      </c>
      <c r="V5" s="24">
        <f>MIN(L5:T7)</f>
        <v>0</v>
      </c>
      <c r="W5" s="21">
        <f>MIN(L5:T8)</f>
        <v>0</v>
      </c>
      <c r="X5" s="21" t="str">
        <f>IF(W5&gt;Y5,"&gt;","&lt;")</f>
        <v>#DIV/0!</v>
      </c>
      <c r="Y5" s="21" t="str">
        <f>+Z5/2</f>
        <v>#DIV/0!</v>
      </c>
      <c r="Z5" s="25" t="str">
        <f>AVERAGE(L5:T8)</f>
        <v>#DIV/0!</v>
      </c>
      <c r="AA5" s="21">
        <v>500.0</v>
      </c>
      <c r="AB5" s="26" t="str">
        <f>IF(W5&gt;Y5,"SI","NO")</f>
        <v>#DIV/0!</v>
      </c>
      <c r="AC5" s="26" t="str">
        <f>IF(Z5&gt;AA5,"SI","NO")</f>
        <v>#DIV/0!</v>
      </c>
      <c r="AD5" s="27" t="str">
        <f>IF(AB5=AE$2,"1","0")</f>
        <v>#DIV/0!</v>
      </c>
      <c r="AE5" s="27" t="str">
        <f>IF(AC5=AE$2,"1","0")</f>
        <v>#DIV/0!</v>
      </c>
    </row>
    <row r="6" ht="24.0" customHeight="1">
      <c r="A6" s="1"/>
      <c r="B6" s="28"/>
      <c r="C6" s="28"/>
      <c r="D6" s="28"/>
      <c r="E6" s="28"/>
      <c r="F6" s="28"/>
      <c r="G6" s="28"/>
      <c r="H6" s="28"/>
      <c r="I6" s="28"/>
      <c r="J6" s="28"/>
      <c r="K6" s="28"/>
      <c r="L6" s="23"/>
      <c r="M6" s="23"/>
      <c r="N6" s="23"/>
      <c r="O6" s="23"/>
      <c r="P6" s="23"/>
      <c r="Q6" s="23"/>
      <c r="R6" s="23"/>
      <c r="S6" s="23"/>
      <c r="T6" s="23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ht="24.0" customHeight="1">
      <c r="A7" s="1"/>
      <c r="B7" s="28"/>
      <c r="C7" s="28"/>
      <c r="D7" s="28"/>
      <c r="E7" s="28"/>
      <c r="F7" s="28"/>
      <c r="G7" s="28"/>
      <c r="H7" s="28"/>
      <c r="I7" s="28"/>
      <c r="J7" s="28"/>
      <c r="K7" s="28"/>
      <c r="L7" s="23"/>
      <c r="M7" s="23"/>
      <c r="N7" s="23"/>
      <c r="O7" s="23"/>
      <c r="P7" s="23"/>
      <c r="Q7" s="23"/>
      <c r="R7" s="23"/>
      <c r="S7" s="23"/>
      <c r="T7" s="23"/>
      <c r="U7" s="15"/>
      <c r="V7" s="15"/>
      <c r="W7" s="28"/>
      <c r="X7" s="28"/>
      <c r="Y7" s="28"/>
      <c r="Z7" s="28"/>
      <c r="AA7" s="28"/>
      <c r="AB7" s="28"/>
      <c r="AC7" s="28"/>
      <c r="AD7" s="15"/>
      <c r="AE7" s="15"/>
    </row>
    <row r="8" ht="24.0" customHeight="1">
      <c r="A8" s="1"/>
      <c r="B8" s="15"/>
      <c r="C8" s="15"/>
      <c r="D8" s="15"/>
      <c r="E8" s="15"/>
      <c r="F8" s="15"/>
      <c r="G8" s="15"/>
      <c r="H8" s="15"/>
      <c r="I8" s="15"/>
      <c r="J8" s="15"/>
      <c r="K8" s="15"/>
      <c r="L8" s="23"/>
      <c r="M8" s="23"/>
      <c r="N8" s="23"/>
      <c r="O8" s="23"/>
      <c r="P8" s="23"/>
      <c r="Q8" s="23"/>
      <c r="R8" s="23"/>
      <c r="S8" s="23"/>
      <c r="T8" s="23"/>
      <c r="U8" s="29"/>
      <c r="V8" s="29"/>
      <c r="W8" s="15"/>
      <c r="X8" s="15"/>
      <c r="Y8" s="15"/>
      <c r="Z8" s="15"/>
      <c r="AA8" s="15"/>
      <c r="AB8" s="15"/>
      <c r="AC8" s="15"/>
      <c r="AD8" s="30"/>
      <c r="AE8" s="30"/>
    </row>
    <row r="9" ht="24.0" customHeight="1">
      <c r="A9" s="1"/>
      <c r="B9" s="31">
        <v>2.0</v>
      </c>
      <c r="C9" s="32" t="s">
        <v>25</v>
      </c>
      <c r="D9" s="33">
        <v>5.05</v>
      </c>
      <c r="E9" s="33">
        <v>38.25</v>
      </c>
      <c r="F9" s="33">
        <v>4.25</v>
      </c>
      <c r="G9" s="34">
        <f t="shared" ref="G9:G10" si="1">+(D9*E9)/(F9*(D9+E9))</f>
        <v>1.04965358</v>
      </c>
      <c r="H9" s="33">
        <v>1.0</v>
      </c>
      <c r="I9" s="33">
        <v>2.0</v>
      </c>
      <c r="J9" s="33">
        <f t="shared" ref="J9:J10" si="2">+H9+I9</f>
        <v>3</v>
      </c>
      <c r="K9" s="33">
        <f t="shared" ref="K9:K10" si="3">POWER(J9,2)</f>
        <v>9</v>
      </c>
      <c r="L9" s="23"/>
      <c r="M9" s="23"/>
      <c r="N9" s="23"/>
      <c r="O9" s="23"/>
      <c r="P9" s="23"/>
      <c r="Q9" s="23"/>
      <c r="R9" s="23"/>
      <c r="S9" s="23"/>
      <c r="T9" s="23"/>
      <c r="U9" s="35">
        <f t="shared" ref="U9:U16" si="4">MAX(L9:T9)</f>
        <v>0</v>
      </c>
      <c r="V9" s="35">
        <f t="shared" ref="V9:V16" si="5">MIN(L9:T9)</f>
        <v>0</v>
      </c>
      <c r="W9" s="36">
        <f t="shared" ref="W9:W15" si="6">MIN(L9:T9)</f>
        <v>0</v>
      </c>
      <c r="X9" s="36" t="str">
        <f t="shared" ref="X9:X16" si="7">IF(W9&gt;Y9,"&gt;","&lt;")</f>
        <v>#DIV/0!</v>
      </c>
      <c r="Y9" s="36" t="str">
        <f t="shared" ref="Y9:Y16" si="8">+Z9/2</f>
        <v>#DIV/0!</v>
      </c>
      <c r="Z9" s="37" t="str">
        <f t="shared" ref="Z9:Z15" si="9">AVERAGE(L9:T9)</f>
        <v>#DIV/0!</v>
      </c>
      <c r="AA9" s="38">
        <v>500.0</v>
      </c>
      <c r="AB9" s="39" t="str">
        <f t="shared" ref="AB9:AB16" si="10">IF(W9&gt;Y9,"SI","NO")</f>
        <v>#DIV/0!</v>
      </c>
      <c r="AC9" s="39" t="str">
        <f t="shared" ref="AC9:AC16" si="11">IF(Z9&gt;AA9,"SI","NO")</f>
        <v>#DIV/0!</v>
      </c>
      <c r="AD9" s="40" t="str">
        <f t="shared" ref="AD9:AD16" si="12">IF(AB9=AE$2,"1","0")</f>
        <v>#DIV/0!</v>
      </c>
      <c r="AE9" s="40" t="str">
        <f t="shared" ref="AE9:AE16" si="13">IF(AC9=AE$2,"1","0")</f>
        <v>#DIV/0!</v>
      </c>
    </row>
    <row r="10" ht="24.0" customHeight="1">
      <c r="A10" s="1"/>
      <c r="B10" s="33">
        <v>3.0</v>
      </c>
      <c r="C10" s="41" t="s">
        <v>26</v>
      </c>
      <c r="D10" s="33">
        <v>7.22</v>
      </c>
      <c r="E10" s="33">
        <v>2.39</v>
      </c>
      <c r="F10" s="33">
        <v>4.25</v>
      </c>
      <c r="G10" s="34">
        <f t="shared" si="1"/>
        <v>0.4224961743</v>
      </c>
      <c r="H10" s="33">
        <v>1.0</v>
      </c>
      <c r="I10" s="33">
        <v>2.0</v>
      </c>
      <c r="J10" s="33">
        <f t="shared" si="2"/>
        <v>3</v>
      </c>
      <c r="K10" s="33">
        <f t="shared" si="3"/>
        <v>9</v>
      </c>
      <c r="L10" s="23"/>
      <c r="M10" s="23"/>
      <c r="N10" s="23"/>
      <c r="O10" s="23"/>
      <c r="P10" s="23"/>
      <c r="Q10" s="23"/>
      <c r="R10" s="23"/>
      <c r="S10" s="23"/>
      <c r="T10" s="23"/>
      <c r="U10" s="35">
        <f t="shared" si="4"/>
        <v>0</v>
      </c>
      <c r="V10" s="35">
        <f t="shared" si="5"/>
        <v>0</v>
      </c>
      <c r="W10" s="36">
        <f t="shared" si="6"/>
        <v>0</v>
      </c>
      <c r="X10" s="36" t="str">
        <f t="shared" si="7"/>
        <v>#DIV/0!</v>
      </c>
      <c r="Y10" s="36" t="str">
        <f t="shared" si="8"/>
        <v>#DIV/0!</v>
      </c>
      <c r="Z10" s="37" t="str">
        <f t="shared" si="9"/>
        <v>#DIV/0!</v>
      </c>
      <c r="AA10" s="42">
        <v>500.0</v>
      </c>
      <c r="AB10" s="39" t="str">
        <f t="shared" si="10"/>
        <v>#DIV/0!</v>
      </c>
      <c r="AC10" s="39" t="str">
        <f t="shared" si="11"/>
        <v>#DIV/0!</v>
      </c>
      <c r="AD10" s="40" t="str">
        <f t="shared" si="12"/>
        <v>#DIV/0!</v>
      </c>
      <c r="AE10" s="40" t="str">
        <f t="shared" si="13"/>
        <v>#DIV/0!</v>
      </c>
    </row>
    <row r="11" ht="24.0" customHeight="1">
      <c r="A11" s="1"/>
      <c r="B11" s="33">
        <v>4.0</v>
      </c>
      <c r="C11" s="41" t="s">
        <v>27</v>
      </c>
      <c r="D11" s="33" t="s">
        <v>28</v>
      </c>
      <c r="E11" s="33" t="s">
        <v>28</v>
      </c>
      <c r="F11" s="33" t="s">
        <v>28</v>
      </c>
      <c r="G11" s="33" t="s">
        <v>28</v>
      </c>
      <c r="H11" s="33" t="s">
        <v>28</v>
      </c>
      <c r="I11" s="33" t="s">
        <v>28</v>
      </c>
      <c r="J11" s="33" t="s">
        <v>28</v>
      </c>
      <c r="K11" s="33" t="s">
        <v>28</v>
      </c>
      <c r="L11" s="23"/>
      <c r="M11" s="23"/>
      <c r="N11" s="23"/>
      <c r="O11" s="33" t="s">
        <v>28</v>
      </c>
      <c r="P11" s="33" t="s">
        <v>28</v>
      </c>
      <c r="Q11" s="33" t="s">
        <v>28</v>
      </c>
      <c r="R11" s="33" t="s">
        <v>28</v>
      </c>
      <c r="S11" s="33" t="s">
        <v>28</v>
      </c>
      <c r="T11" s="33" t="s">
        <v>28</v>
      </c>
      <c r="U11" s="35">
        <f t="shared" si="4"/>
        <v>0</v>
      </c>
      <c r="V11" s="35">
        <f t="shared" si="5"/>
        <v>0</v>
      </c>
      <c r="W11" s="36">
        <f t="shared" si="6"/>
        <v>0</v>
      </c>
      <c r="X11" s="36" t="str">
        <f t="shared" si="7"/>
        <v>#DIV/0!</v>
      </c>
      <c r="Y11" s="36" t="str">
        <f t="shared" si="8"/>
        <v>#DIV/0!</v>
      </c>
      <c r="Z11" s="37" t="str">
        <f t="shared" si="9"/>
        <v>#DIV/0!</v>
      </c>
      <c r="AA11" s="42">
        <v>100.0</v>
      </c>
      <c r="AB11" s="39" t="str">
        <f t="shared" si="10"/>
        <v>#DIV/0!</v>
      </c>
      <c r="AC11" s="39" t="str">
        <f t="shared" si="11"/>
        <v>#DIV/0!</v>
      </c>
      <c r="AD11" s="40" t="str">
        <f t="shared" si="12"/>
        <v>#DIV/0!</v>
      </c>
      <c r="AE11" s="40" t="str">
        <f t="shared" si="13"/>
        <v>#DIV/0!</v>
      </c>
    </row>
    <row r="12" ht="24.0" customHeight="1">
      <c r="A12" s="1"/>
      <c r="B12" s="31">
        <v>5.0</v>
      </c>
      <c r="C12" s="41" t="s">
        <v>29</v>
      </c>
      <c r="D12" s="33">
        <v>3.78</v>
      </c>
      <c r="E12" s="33">
        <v>3.66</v>
      </c>
      <c r="F12" s="33">
        <v>2.88</v>
      </c>
      <c r="G12" s="34">
        <f t="shared" ref="G12:G13" si="14">+(D12*E12)/(F12*(D12+E12))</f>
        <v>0.6456653226</v>
      </c>
      <c r="H12" s="33">
        <v>1.0</v>
      </c>
      <c r="I12" s="33">
        <v>2.0</v>
      </c>
      <c r="J12" s="33">
        <f t="shared" ref="J12:J13" si="15">+H12+I12</f>
        <v>3</v>
      </c>
      <c r="K12" s="33">
        <f t="shared" ref="K12:K13" si="16">POWER(J12,2)</f>
        <v>9</v>
      </c>
      <c r="L12" s="23"/>
      <c r="M12" s="23"/>
      <c r="N12" s="23"/>
      <c r="O12" s="23"/>
      <c r="P12" s="23"/>
      <c r="Q12" s="23"/>
      <c r="R12" s="23"/>
      <c r="S12" s="23"/>
      <c r="T12" s="23"/>
      <c r="U12" s="35">
        <f t="shared" si="4"/>
        <v>0</v>
      </c>
      <c r="V12" s="35">
        <f t="shared" si="5"/>
        <v>0</v>
      </c>
      <c r="W12" s="36">
        <f t="shared" si="6"/>
        <v>0</v>
      </c>
      <c r="X12" s="36" t="str">
        <f t="shared" si="7"/>
        <v>#DIV/0!</v>
      </c>
      <c r="Y12" s="36" t="str">
        <f t="shared" si="8"/>
        <v>#DIV/0!</v>
      </c>
      <c r="Z12" s="37" t="str">
        <f t="shared" si="9"/>
        <v>#DIV/0!</v>
      </c>
      <c r="AA12" s="42">
        <v>100.0</v>
      </c>
      <c r="AB12" s="39" t="str">
        <f t="shared" si="10"/>
        <v>#DIV/0!</v>
      </c>
      <c r="AC12" s="39" t="str">
        <f t="shared" si="11"/>
        <v>#DIV/0!</v>
      </c>
      <c r="AD12" s="40" t="str">
        <f t="shared" si="12"/>
        <v>#DIV/0!</v>
      </c>
      <c r="AE12" s="40" t="str">
        <f t="shared" si="13"/>
        <v>#DIV/0!</v>
      </c>
    </row>
    <row r="13" ht="24.0" customHeight="1">
      <c r="A13" s="1"/>
      <c r="B13" s="33">
        <v>6.0</v>
      </c>
      <c r="C13" s="41" t="s">
        <v>30</v>
      </c>
      <c r="D13" s="33">
        <v>3.61</v>
      </c>
      <c r="E13" s="33">
        <v>6.15</v>
      </c>
      <c r="F13" s="33">
        <v>2.88</v>
      </c>
      <c r="G13" s="34">
        <f t="shared" si="14"/>
        <v>0.7898416154</v>
      </c>
      <c r="H13" s="33">
        <v>1.0</v>
      </c>
      <c r="I13" s="33">
        <v>2.0</v>
      </c>
      <c r="J13" s="33">
        <f t="shared" si="15"/>
        <v>3</v>
      </c>
      <c r="K13" s="33">
        <f t="shared" si="16"/>
        <v>9</v>
      </c>
      <c r="L13" s="23"/>
      <c r="M13" s="23"/>
      <c r="N13" s="23"/>
      <c r="O13" s="23"/>
      <c r="P13" s="23"/>
      <c r="Q13" s="23"/>
      <c r="R13" s="23"/>
      <c r="S13" s="23"/>
      <c r="T13" s="23"/>
      <c r="U13" s="35">
        <f t="shared" si="4"/>
        <v>0</v>
      </c>
      <c r="V13" s="35">
        <f t="shared" si="5"/>
        <v>0</v>
      </c>
      <c r="W13" s="36">
        <f t="shared" si="6"/>
        <v>0</v>
      </c>
      <c r="X13" s="36" t="str">
        <f t="shared" si="7"/>
        <v>#DIV/0!</v>
      </c>
      <c r="Y13" s="36" t="str">
        <f t="shared" si="8"/>
        <v>#DIV/0!</v>
      </c>
      <c r="Z13" s="37" t="str">
        <f t="shared" si="9"/>
        <v>#DIV/0!</v>
      </c>
      <c r="AA13" s="42">
        <v>500.0</v>
      </c>
      <c r="AB13" s="39" t="str">
        <f t="shared" si="10"/>
        <v>#DIV/0!</v>
      </c>
      <c r="AC13" s="39" t="str">
        <f t="shared" si="11"/>
        <v>#DIV/0!</v>
      </c>
      <c r="AD13" s="40" t="str">
        <f t="shared" si="12"/>
        <v>#DIV/0!</v>
      </c>
      <c r="AE13" s="40" t="str">
        <f t="shared" si="13"/>
        <v>#DIV/0!</v>
      </c>
    </row>
    <row r="14" ht="24.0" customHeight="1">
      <c r="A14" s="1"/>
      <c r="B14" s="33">
        <v>7.0</v>
      </c>
      <c r="C14" s="41" t="s">
        <v>31</v>
      </c>
      <c r="D14" s="33" t="s">
        <v>28</v>
      </c>
      <c r="E14" s="33" t="s">
        <v>28</v>
      </c>
      <c r="F14" s="33" t="s">
        <v>28</v>
      </c>
      <c r="G14" s="43" t="s">
        <v>28</v>
      </c>
      <c r="H14" s="33" t="s">
        <v>28</v>
      </c>
      <c r="I14" s="33" t="s">
        <v>28</v>
      </c>
      <c r="J14" s="33" t="s">
        <v>28</v>
      </c>
      <c r="K14" s="33" t="s">
        <v>28</v>
      </c>
      <c r="L14" s="23"/>
      <c r="M14" s="23"/>
      <c r="N14" s="23"/>
      <c r="O14" s="33" t="s">
        <v>28</v>
      </c>
      <c r="P14" s="33" t="s">
        <v>28</v>
      </c>
      <c r="Q14" s="33" t="s">
        <v>28</v>
      </c>
      <c r="R14" s="33" t="s">
        <v>28</v>
      </c>
      <c r="S14" s="33" t="s">
        <v>28</v>
      </c>
      <c r="T14" s="33" t="s">
        <v>28</v>
      </c>
      <c r="U14" s="35">
        <f t="shared" si="4"/>
        <v>0</v>
      </c>
      <c r="V14" s="35">
        <f t="shared" si="5"/>
        <v>0</v>
      </c>
      <c r="W14" s="36">
        <f t="shared" si="6"/>
        <v>0</v>
      </c>
      <c r="X14" s="36" t="str">
        <f t="shared" si="7"/>
        <v>#DIV/0!</v>
      </c>
      <c r="Y14" s="36" t="str">
        <f t="shared" si="8"/>
        <v>#DIV/0!</v>
      </c>
      <c r="Z14" s="37" t="str">
        <f t="shared" si="9"/>
        <v>#DIV/0!</v>
      </c>
      <c r="AA14" s="42">
        <v>100.0</v>
      </c>
      <c r="AB14" s="39" t="str">
        <f t="shared" si="10"/>
        <v>#DIV/0!</v>
      </c>
      <c r="AC14" s="39" t="str">
        <f t="shared" si="11"/>
        <v>#DIV/0!</v>
      </c>
      <c r="AD14" s="40" t="str">
        <f t="shared" si="12"/>
        <v>#DIV/0!</v>
      </c>
      <c r="AE14" s="40" t="str">
        <f t="shared" si="13"/>
        <v>#DIV/0!</v>
      </c>
    </row>
    <row r="15" ht="24.0" customHeight="1">
      <c r="A15" s="1"/>
      <c r="B15" s="31">
        <v>8.0</v>
      </c>
      <c r="C15" s="41" t="s">
        <v>32</v>
      </c>
      <c r="D15" s="33">
        <v>15.51</v>
      </c>
      <c r="E15" s="33">
        <v>5.08</v>
      </c>
      <c r="F15" s="33">
        <v>4.53</v>
      </c>
      <c r="G15" s="34">
        <f t="shared" ref="G15:G16" si="17">+(D15*E15)/(F15*(D15+E15))</f>
        <v>0.8447359195</v>
      </c>
      <c r="H15" s="33">
        <v>1.0</v>
      </c>
      <c r="I15" s="33">
        <v>2.0</v>
      </c>
      <c r="J15" s="33">
        <f t="shared" ref="J15:J16" si="18">+H15+I15</f>
        <v>3</v>
      </c>
      <c r="K15" s="33">
        <f t="shared" ref="K15:K16" si="19">POWER(J15,2)</f>
        <v>9</v>
      </c>
      <c r="L15" s="23"/>
      <c r="M15" s="23"/>
      <c r="N15" s="23"/>
      <c r="O15" s="23"/>
      <c r="P15" s="23"/>
      <c r="Q15" s="23"/>
      <c r="R15" s="23"/>
      <c r="S15" s="23"/>
      <c r="T15" s="23"/>
      <c r="U15" s="35">
        <f t="shared" si="4"/>
        <v>0</v>
      </c>
      <c r="V15" s="35">
        <f t="shared" si="5"/>
        <v>0</v>
      </c>
      <c r="W15" s="36">
        <f t="shared" si="6"/>
        <v>0</v>
      </c>
      <c r="X15" s="36" t="str">
        <f t="shared" si="7"/>
        <v>#DIV/0!</v>
      </c>
      <c r="Y15" s="36" t="str">
        <f t="shared" si="8"/>
        <v>#DIV/0!</v>
      </c>
      <c r="Z15" s="37" t="str">
        <f t="shared" si="9"/>
        <v>#DIV/0!</v>
      </c>
      <c r="AA15" s="42">
        <v>200.0</v>
      </c>
      <c r="AB15" s="39" t="str">
        <f t="shared" si="10"/>
        <v>#DIV/0!</v>
      </c>
      <c r="AC15" s="39" t="str">
        <f t="shared" si="11"/>
        <v>#DIV/0!</v>
      </c>
      <c r="AD15" s="40" t="str">
        <f t="shared" si="12"/>
        <v>#DIV/0!</v>
      </c>
      <c r="AE15" s="40" t="str">
        <f t="shared" si="13"/>
        <v>#DIV/0!</v>
      </c>
    </row>
    <row r="16" ht="24.0" customHeight="1">
      <c r="A16" s="1"/>
      <c r="B16" s="21">
        <v>9.0</v>
      </c>
      <c r="C16" s="21" t="s">
        <v>33</v>
      </c>
      <c r="D16" s="21">
        <v>10.08</v>
      </c>
      <c r="E16" s="21">
        <v>14.52</v>
      </c>
      <c r="F16" s="21">
        <v>2.94</v>
      </c>
      <c r="G16" s="21">
        <f t="shared" si="17"/>
        <v>2.02369338</v>
      </c>
      <c r="H16" s="21">
        <v>2.0</v>
      </c>
      <c r="I16" s="21">
        <v>2.0</v>
      </c>
      <c r="J16" s="21">
        <f t="shared" si="18"/>
        <v>4</v>
      </c>
      <c r="K16" s="21">
        <f t="shared" si="19"/>
        <v>16</v>
      </c>
      <c r="L16" s="23"/>
      <c r="M16" s="23"/>
      <c r="N16" s="23"/>
      <c r="O16" s="23"/>
      <c r="P16" s="23"/>
      <c r="Q16" s="23"/>
      <c r="R16" s="23"/>
      <c r="S16" s="23"/>
      <c r="T16" s="23"/>
      <c r="U16" s="35">
        <f t="shared" si="4"/>
        <v>0</v>
      </c>
      <c r="V16" s="35">
        <f t="shared" si="5"/>
        <v>0</v>
      </c>
      <c r="W16" s="25">
        <f>MIN(L16:T17)</f>
        <v>0</v>
      </c>
      <c r="X16" s="25" t="str">
        <f t="shared" si="7"/>
        <v>#DIV/0!</v>
      </c>
      <c r="Y16" s="25" t="str">
        <f t="shared" si="8"/>
        <v>#DIV/0!</v>
      </c>
      <c r="Z16" s="25" t="str">
        <f>AVERAGE(L16:T17)</f>
        <v>#DIV/0!</v>
      </c>
      <c r="AA16" s="25">
        <v>300.0</v>
      </c>
      <c r="AB16" s="26" t="str">
        <f t="shared" si="10"/>
        <v>#DIV/0!</v>
      </c>
      <c r="AC16" s="26" t="str">
        <f t="shared" si="11"/>
        <v>#DIV/0!</v>
      </c>
      <c r="AD16" s="40" t="str">
        <f t="shared" si="12"/>
        <v>#DIV/0!</v>
      </c>
      <c r="AE16" s="40" t="str">
        <f t="shared" si="13"/>
        <v>#DIV/0!</v>
      </c>
    </row>
    <row r="17" ht="24.0" customHeight="1">
      <c r="A17" s="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3"/>
      <c r="M17" s="23"/>
      <c r="N17" s="23"/>
      <c r="O17" s="23"/>
      <c r="P17" s="23"/>
      <c r="Q17" s="23"/>
      <c r="R17" s="23"/>
      <c r="S17" s="23"/>
      <c r="T17" s="23"/>
      <c r="U17" s="35"/>
      <c r="V17" s="35"/>
      <c r="W17" s="15"/>
      <c r="X17" s="15"/>
      <c r="Y17" s="15"/>
      <c r="Z17" s="15"/>
      <c r="AA17" s="15"/>
      <c r="AB17" s="15"/>
      <c r="AC17" s="15"/>
      <c r="AD17" s="40"/>
      <c r="AE17" s="40"/>
    </row>
    <row r="18" ht="24.0" customHeight="1">
      <c r="A18" s="1"/>
      <c r="B18" s="33">
        <v>10.0</v>
      </c>
      <c r="C18" s="41" t="s">
        <v>34</v>
      </c>
      <c r="D18" s="33">
        <v>3.83</v>
      </c>
      <c r="E18" s="33">
        <v>6.2</v>
      </c>
      <c r="F18" s="33">
        <v>2.94</v>
      </c>
      <c r="G18" s="34">
        <f t="shared" ref="G18:G30" si="20">+(D18*E18)/(F18*(D18+E18))</f>
        <v>0.805271261</v>
      </c>
      <c r="H18" s="33">
        <v>1.0</v>
      </c>
      <c r="I18" s="33">
        <v>2.0</v>
      </c>
      <c r="J18" s="33">
        <f t="shared" ref="J18:J30" si="21">+H18+I18</f>
        <v>3</v>
      </c>
      <c r="K18" s="33">
        <f t="shared" ref="K18:K30" si="22">POWER(J18,2)</f>
        <v>9</v>
      </c>
      <c r="L18" s="23"/>
      <c r="M18" s="23"/>
      <c r="N18" s="23"/>
      <c r="O18" s="33" t="s">
        <v>28</v>
      </c>
      <c r="P18" s="33" t="s">
        <v>28</v>
      </c>
      <c r="Q18" s="33" t="s">
        <v>28</v>
      </c>
      <c r="R18" s="33" t="s">
        <v>28</v>
      </c>
      <c r="S18" s="33" t="s">
        <v>28</v>
      </c>
      <c r="T18" s="33" t="s">
        <v>28</v>
      </c>
      <c r="U18" s="35">
        <f t="shared" ref="U18:U32" si="23">MAX(L18:T18)</f>
        <v>0</v>
      </c>
      <c r="V18" s="35">
        <f t="shared" ref="V18:V32" si="24">MIN(L18:T18)</f>
        <v>0</v>
      </c>
      <c r="W18" s="36">
        <f t="shared" ref="W18:W32" si="25">MIN(L18:T18)</f>
        <v>0</v>
      </c>
      <c r="X18" s="36" t="str">
        <f t="shared" ref="X18:X32" si="26">IF(W18&gt;Y18,"&gt;","&lt;")</f>
        <v>#DIV/0!</v>
      </c>
      <c r="Y18" s="36" t="str">
        <f t="shared" ref="Y18:Y32" si="27">+Z18/2</f>
        <v>#DIV/0!</v>
      </c>
      <c r="Z18" s="37" t="str">
        <f t="shared" ref="Z18:Z32" si="28">AVERAGE(L18:T18)</f>
        <v>#DIV/0!</v>
      </c>
      <c r="AA18" s="42">
        <v>100.0</v>
      </c>
      <c r="AB18" s="39" t="str">
        <f t="shared" ref="AB18:AB32" si="29">IF(W18&gt;Y18,"SI","NO")</f>
        <v>#DIV/0!</v>
      </c>
      <c r="AC18" s="39" t="str">
        <f t="shared" ref="AC18:AC32" si="30">IF(Z18&gt;AA18,"SI","NO")</f>
        <v>#DIV/0!</v>
      </c>
      <c r="AD18" s="40" t="str">
        <f t="shared" ref="AD18:AD32" si="31">IF(AB18=AE$2,"1","0")</f>
        <v>#DIV/0!</v>
      </c>
      <c r="AE18" s="40" t="str">
        <f t="shared" ref="AE18:AE32" si="32">IF(AC18=AE$2,"1","0")</f>
        <v>#DIV/0!</v>
      </c>
    </row>
    <row r="19" ht="24.0" customHeight="1">
      <c r="A19" s="1"/>
      <c r="B19" s="31">
        <v>11.0</v>
      </c>
      <c r="C19" s="41" t="s">
        <v>35</v>
      </c>
      <c r="D19" s="33">
        <v>3.83</v>
      </c>
      <c r="E19" s="33">
        <v>4.03</v>
      </c>
      <c r="F19" s="33">
        <v>2.94</v>
      </c>
      <c r="G19" s="34">
        <f t="shared" si="20"/>
        <v>0.6679346039</v>
      </c>
      <c r="H19" s="33">
        <v>1.0</v>
      </c>
      <c r="I19" s="33">
        <v>2.0</v>
      </c>
      <c r="J19" s="33">
        <f t="shared" si="21"/>
        <v>3</v>
      </c>
      <c r="K19" s="33">
        <f t="shared" si="22"/>
        <v>9</v>
      </c>
      <c r="L19" s="23"/>
      <c r="M19" s="23"/>
      <c r="N19" s="23"/>
      <c r="O19" s="23"/>
      <c r="P19" s="23"/>
      <c r="Q19" s="23"/>
      <c r="R19" s="23"/>
      <c r="S19" s="23"/>
      <c r="T19" s="23"/>
      <c r="U19" s="35">
        <f t="shared" si="23"/>
        <v>0</v>
      </c>
      <c r="V19" s="35">
        <f t="shared" si="24"/>
        <v>0</v>
      </c>
      <c r="W19" s="36">
        <f t="shared" si="25"/>
        <v>0</v>
      </c>
      <c r="X19" s="36" t="str">
        <f t="shared" si="26"/>
        <v>#DIV/0!</v>
      </c>
      <c r="Y19" s="36" t="str">
        <f t="shared" si="27"/>
        <v>#DIV/0!</v>
      </c>
      <c r="Z19" s="37" t="str">
        <f t="shared" si="28"/>
        <v>#DIV/0!</v>
      </c>
      <c r="AA19" s="42">
        <v>50.0</v>
      </c>
      <c r="AB19" s="39" t="str">
        <f t="shared" si="29"/>
        <v>#DIV/0!</v>
      </c>
      <c r="AC19" s="39" t="str">
        <f t="shared" si="30"/>
        <v>#DIV/0!</v>
      </c>
      <c r="AD19" s="40" t="str">
        <f t="shared" si="31"/>
        <v>#DIV/0!</v>
      </c>
      <c r="AE19" s="40" t="str">
        <f t="shared" si="32"/>
        <v>#DIV/0!</v>
      </c>
    </row>
    <row r="20" ht="24.0" customHeight="1">
      <c r="A20" s="1"/>
      <c r="B20" s="33">
        <v>12.0</v>
      </c>
      <c r="C20" s="41" t="s">
        <v>36</v>
      </c>
      <c r="D20" s="33">
        <v>2.97</v>
      </c>
      <c r="E20" s="33">
        <v>3.89</v>
      </c>
      <c r="F20" s="33">
        <v>2.94</v>
      </c>
      <c r="G20" s="34">
        <f t="shared" si="20"/>
        <v>0.5728416731</v>
      </c>
      <c r="H20" s="33">
        <v>1.0</v>
      </c>
      <c r="I20" s="33">
        <v>2.0</v>
      </c>
      <c r="J20" s="33">
        <f t="shared" si="21"/>
        <v>3</v>
      </c>
      <c r="K20" s="33">
        <f t="shared" si="22"/>
        <v>9</v>
      </c>
      <c r="L20" s="23"/>
      <c r="M20" s="23"/>
      <c r="N20" s="23"/>
      <c r="O20" s="23"/>
      <c r="P20" s="23"/>
      <c r="Q20" s="23"/>
      <c r="R20" s="23"/>
      <c r="S20" s="23"/>
      <c r="T20" s="23"/>
      <c r="U20" s="35">
        <f t="shared" si="23"/>
        <v>0</v>
      </c>
      <c r="V20" s="35">
        <f t="shared" si="24"/>
        <v>0</v>
      </c>
      <c r="W20" s="36">
        <f t="shared" si="25"/>
        <v>0</v>
      </c>
      <c r="X20" s="36" t="str">
        <f t="shared" si="26"/>
        <v>#DIV/0!</v>
      </c>
      <c r="Y20" s="36" t="str">
        <f t="shared" si="27"/>
        <v>#DIV/0!</v>
      </c>
      <c r="Z20" s="37" t="str">
        <f t="shared" si="28"/>
        <v>#DIV/0!</v>
      </c>
      <c r="AA20" s="42">
        <v>50.0</v>
      </c>
      <c r="AB20" s="39" t="str">
        <f t="shared" si="29"/>
        <v>#DIV/0!</v>
      </c>
      <c r="AC20" s="39" t="str">
        <f t="shared" si="30"/>
        <v>#DIV/0!</v>
      </c>
      <c r="AD20" s="40" t="str">
        <f t="shared" si="31"/>
        <v>#DIV/0!</v>
      </c>
      <c r="AE20" s="40" t="str">
        <f t="shared" si="32"/>
        <v>#DIV/0!</v>
      </c>
    </row>
    <row r="21" ht="24.0" customHeight="1">
      <c r="A21" s="1"/>
      <c r="B21" s="33">
        <v>13.0</v>
      </c>
      <c r="C21" s="41" t="s">
        <v>37</v>
      </c>
      <c r="D21" s="33">
        <v>2.56</v>
      </c>
      <c r="E21" s="33">
        <v>3.05</v>
      </c>
      <c r="F21" s="33">
        <v>2.94</v>
      </c>
      <c r="G21" s="34">
        <f t="shared" si="20"/>
        <v>0.4734014818</v>
      </c>
      <c r="H21" s="33">
        <v>1.0</v>
      </c>
      <c r="I21" s="33">
        <v>2.0</v>
      </c>
      <c r="J21" s="33">
        <f t="shared" si="21"/>
        <v>3</v>
      </c>
      <c r="K21" s="33">
        <f t="shared" si="22"/>
        <v>9</v>
      </c>
      <c r="L21" s="23"/>
      <c r="M21" s="23"/>
      <c r="N21" s="23"/>
      <c r="O21" s="23"/>
      <c r="P21" s="23"/>
      <c r="Q21" s="23"/>
      <c r="R21" s="23"/>
      <c r="S21" s="23"/>
      <c r="T21" s="23"/>
      <c r="U21" s="35">
        <f t="shared" si="23"/>
        <v>0</v>
      </c>
      <c r="V21" s="35">
        <f t="shared" si="24"/>
        <v>0</v>
      </c>
      <c r="W21" s="36">
        <f t="shared" si="25"/>
        <v>0</v>
      </c>
      <c r="X21" s="36" t="str">
        <f t="shared" si="26"/>
        <v>#DIV/0!</v>
      </c>
      <c r="Y21" s="36" t="str">
        <f t="shared" si="27"/>
        <v>#DIV/0!</v>
      </c>
      <c r="Z21" s="37" t="str">
        <f t="shared" si="28"/>
        <v>#DIV/0!</v>
      </c>
      <c r="AA21" s="42">
        <v>300.0</v>
      </c>
      <c r="AB21" s="39" t="str">
        <f t="shared" si="29"/>
        <v>#DIV/0!</v>
      </c>
      <c r="AC21" s="39" t="str">
        <f t="shared" si="30"/>
        <v>#DIV/0!</v>
      </c>
      <c r="AD21" s="40" t="str">
        <f t="shared" si="31"/>
        <v>#DIV/0!</v>
      </c>
      <c r="AE21" s="40" t="str">
        <f t="shared" si="32"/>
        <v>#DIV/0!</v>
      </c>
    </row>
    <row r="22" ht="24.0" customHeight="1">
      <c r="A22" s="1"/>
      <c r="B22" s="31">
        <v>14.0</v>
      </c>
      <c r="C22" s="41" t="s">
        <v>38</v>
      </c>
      <c r="D22" s="33">
        <v>4.23</v>
      </c>
      <c r="E22" s="33">
        <v>3.71</v>
      </c>
      <c r="F22" s="33">
        <v>2.94</v>
      </c>
      <c r="G22" s="34">
        <f t="shared" si="20"/>
        <v>0.6722741994</v>
      </c>
      <c r="H22" s="33">
        <v>1.0</v>
      </c>
      <c r="I22" s="33">
        <v>2.0</v>
      </c>
      <c r="J22" s="33">
        <f t="shared" si="21"/>
        <v>3</v>
      </c>
      <c r="K22" s="33">
        <f t="shared" si="22"/>
        <v>9</v>
      </c>
      <c r="L22" s="23"/>
      <c r="M22" s="23"/>
      <c r="N22" s="23"/>
      <c r="O22" s="23"/>
      <c r="P22" s="23"/>
      <c r="Q22" s="23"/>
      <c r="R22" s="23"/>
      <c r="S22" s="23"/>
      <c r="T22" s="23"/>
      <c r="U22" s="35">
        <f t="shared" si="23"/>
        <v>0</v>
      </c>
      <c r="V22" s="35">
        <f t="shared" si="24"/>
        <v>0</v>
      </c>
      <c r="W22" s="36">
        <f t="shared" si="25"/>
        <v>0</v>
      </c>
      <c r="X22" s="36" t="str">
        <f t="shared" si="26"/>
        <v>#DIV/0!</v>
      </c>
      <c r="Y22" s="36" t="str">
        <f t="shared" si="27"/>
        <v>#DIV/0!</v>
      </c>
      <c r="Z22" s="37" t="str">
        <f t="shared" si="28"/>
        <v>#DIV/0!</v>
      </c>
      <c r="AA22" s="42">
        <v>300.0</v>
      </c>
      <c r="AB22" s="39" t="str">
        <f t="shared" si="29"/>
        <v>#DIV/0!</v>
      </c>
      <c r="AC22" s="39" t="str">
        <f t="shared" si="30"/>
        <v>#DIV/0!</v>
      </c>
      <c r="AD22" s="40" t="str">
        <f t="shared" si="31"/>
        <v>#DIV/0!</v>
      </c>
      <c r="AE22" s="40" t="str">
        <f t="shared" si="32"/>
        <v>#DIV/0!</v>
      </c>
    </row>
    <row r="23" ht="24.0" customHeight="1">
      <c r="A23" s="1"/>
      <c r="B23" s="33">
        <v>15.0</v>
      </c>
      <c r="C23" s="41" t="s">
        <v>39</v>
      </c>
      <c r="D23" s="33">
        <v>5.75</v>
      </c>
      <c r="E23" s="33">
        <v>2.79</v>
      </c>
      <c r="F23" s="33">
        <v>2.94</v>
      </c>
      <c r="G23" s="34">
        <f t="shared" si="20"/>
        <v>0.6389499594</v>
      </c>
      <c r="H23" s="33">
        <v>1.0</v>
      </c>
      <c r="I23" s="33">
        <v>2.0</v>
      </c>
      <c r="J23" s="33">
        <f t="shared" si="21"/>
        <v>3</v>
      </c>
      <c r="K23" s="33">
        <f t="shared" si="22"/>
        <v>9</v>
      </c>
      <c r="L23" s="23"/>
      <c r="M23" s="23"/>
      <c r="N23" s="23"/>
      <c r="O23" s="23"/>
      <c r="P23" s="23"/>
      <c r="Q23" s="23"/>
      <c r="R23" s="23"/>
      <c r="S23" s="23"/>
      <c r="T23" s="23"/>
      <c r="U23" s="35">
        <f t="shared" si="23"/>
        <v>0</v>
      </c>
      <c r="V23" s="35">
        <f t="shared" si="24"/>
        <v>0</v>
      </c>
      <c r="W23" s="36">
        <f t="shared" si="25"/>
        <v>0</v>
      </c>
      <c r="X23" s="36" t="str">
        <f t="shared" si="26"/>
        <v>#DIV/0!</v>
      </c>
      <c r="Y23" s="36" t="str">
        <f t="shared" si="27"/>
        <v>#DIV/0!</v>
      </c>
      <c r="Z23" s="37" t="str">
        <f t="shared" si="28"/>
        <v>#DIV/0!</v>
      </c>
      <c r="AA23" s="42">
        <v>300.0</v>
      </c>
      <c r="AB23" s="39" t="str">
        <f t="shared" si="29"/>
        <v>#DIV/0!</v>
      </c>
      <c r="AC23" s="39" t="str">
        <f t="shared" si="30"/>
        <v>#DIV/0!</v>
      </c>
      <c r="AD23" s="40" t="str">
        <f t="shared" si="31"/>
        <v>#DIV/0!</v>
      </c>
      <c r="AE23" s="40" t="str">
        <f t="shared" si="32"/>
        <v>#DIV/0!</v>
      </c>
    </row>
    <row r="24" ht="24.0" customHeight="1">
      <c r="A24" s="1"/>
      <c r="B24" s="33">
        <v>16.0</v>
      </c>
      <c r="C24" s="41" t="s">
        <v>40</v>
      </c>
      <c r="D24" s="33">
        <v>3.97</v>
      </c>
      <c r="E24" s="33">
        <v>3.66</v>
      </c>
      <c r="F24" s="33">
        <v>2.94</v>
      </c>
      <c r="G24" s="34">
        <f t="shared" si="20"/>
        <v>0.6477385187</v>
      </c>
      <c r="H24" s="33">
        <v>1.0</v>
      </c>
      <c r="I24" s="33">
        <v>2.0</v>
      </c>
      <c r="J24" s="33">
        <f t="shared" si="21"/>
        <v>3</v>
      </c>
      <c r="K24" s="33">
        <f t="shared" si="22"/>
        <v>9</v>
      </c>
      <c r="L24" s="23"/>
      <c r="M24" s="23"/>
      <c r="N24" s="23"/>
      <c r="O24" s="23"/>
      <c r="P24" s="23"/>
      <c r="Q24" s="23"/>
      <c r="R24" s="23"/>
      <c r="S24" s="23"/>
      <c r="T24" s="23"/>
      <c r="U24" s="35">
        <f t="shared" si="23"/>
        <v>0</v>
      </c>
      <c r="V24" s="35">
        <f t="shared" si="24"/>
        <v>0</v>
      </c>
      <c r="W24" s="36">
        <f t="shared" si="25"/>
        <v>0</v>
      </c>
      <c r="X24" s="36" t="str">
        <f t="shared" si="26"/>
        <v>#DIV/0!</v>
      </c>
      <c r="Y24" s="36" t="str">
        <f t="shared" si="27"/>
        <v>#DIV/0!</v>
      </c>
      <c r="Z24" s="37" t="str">
        <f t="shared" si="28"/>
        <v>#DIV/0!</v>
      </c>
      <c r="AA24" s="42">
        <v>50.0</v>
      </c>
      <c r="AB24" s="39" t="str">
        <f t="shared" si="29"/>
        <v>#DIV/0!</v>
      </c>
      <c r="AC24" s="39" t="str">
        <f t="shared" si="30"/>
        <v>#DIV/0!</v>
      </c>
      <c r="AD24" s="40" t="str">
        <f t="shared" si="31"/>
        <v>#DIV/0!</v>
      </c>
      <c r="AE24" s="40" t="str">
        <f t="shared" si="32"/>
        <v>#DIV/0!</v>
      </c>
    </row>
    <row r="25" ht="24.0" customHeight="1">
      <c r="A25" s="1"/>
      <c r="B25" s="31">
        <v>17.0</v>
      </c>
      <c r="C25" s="41" t="s">
        <v>41</v>
      </c>
      <c r="D25" s="33">
        <v>7.11</v>
      </c>
      <c r="E25" s="33">
        <v>3.53</v>
      </c>
      <c r="F25" s="33">
        <v>2.94</v>
      </c>
      <c r="G25" s="34">
        <f t="shared" si="20"/>
        <v>0.8023342796</v>
      </c>
      <c r="H25" s="33">
        <v>1.0</v>
      </c>
      <c r="I25" s="33">
        <v>2.0</v>
      </c>
      <c r="J25" s="33">
        <f t="shared" si="21"/>
        <v>3</v>
      </c>
      <c r="K25" s="33">
        <f t="shared" si="22"/>
        <v>9</v>
      </c>
      <c r="L25" s="23"/>
      <c r="M25" s="23"/>
      <c r="N25" s="23"/>
      <c r="O25" s="23"/>
      <c r="P25" s="23"/>
      <c r="Q25" s="23"/>
      <c r="R25" s="23"/>
      <c r="S25" s="23"/>
      <c r="T25" s="23"/>
      <c r="U25" s="35">
        <f t="shared" si="23"/>
        <v>0</v>
      </c>
      <c r="V25" s="35">
        <f t="shared" si="24"/>
        <v>0</v>
      </c>
      <c r="W25" s="36">
        <f t="shared" si="25"/>
        <v>0</v>
      </c>
      <c r="X25" s="36" t="str">
        <f t="shared" si="26"/>
        <v>#DIV/0!</v>
      </c>
      <c r="Y25" s="36" t="str">
        <f t="shared" si="27"/>
        <v>#DIV/0!</v>
      </c>
      <c r="Z25" s="37" t="str">
        <f t="shared" si="28"/>
        <v>#DIV/0!</v>
      </c>
      <c r="AA25" s="42">
        <v>50.0</v>
      </c>
      <c r="AB25" s="39" t="str">
        <f t="shared" si="29"/>
        <v>#DIV/0!</v>
      </c>
      <c r="AC25" s="39" t="str">
        <f t="shared" si="30"/>
        <v>#DIV/0!</v>
      </c>
      <c r="AD25" s="40" t="str">
        <f t="shared" si="31"/>
        <v>#DIV/0!</v>
      </c>
      <c r="AE25" s="40" t="str">
        <f t="shared" si="32"/>
        <v>#DIV/0!</v>
      </c>
    </row>
    <row r="26" ht="24.0" customHeight="1">
      <c r="A26" s="1"/>
      <c r="B26" s="33">
        <v>18.0</v>
      </c>
      <c r="C26" s="41" t="s">
        <v>42</v>
      </c>
      <c r="D26" s="33">
        <v>4.12</v>
      </c>
      <c r="E26" s="33">
        <v>3.32</v>
      </c>
      <c r="F26" s="33">
        <v>2.94</v>
      </c>
      <c r="G26" s="34">
        <f t="shared" si="20"/>
        <v>0.6253383074</v>
      </c>
      <c r="H26" s="33">
        <v>1.0</v>
      </c>
      <c r="I26" s="33">
        <v>2.0</v>
      </c>
      <c r="J26" s="33">
        <f t="shared" si="21"/>
        <v>3</v>
      </c>
      <c r="K26" s="33">
        <f t="shared" si="22"/>
        <v>9</v>
      </c>
      <c r="L26" s="23"/>
      <c r="M26" s="23"/>
      <c r="N26" s="23"/>
      <c r="O26" s="23"/>
      <c r="P26" s="23"/>
      <c r="Q26" s="23"/>
      <c r="R26" s="23"/>
      <c r="S26" s="23"/>
      <c r="T26" s="23"/>
      <c r="U26" s="35">
        <f t="shared" si="23"/>
        <v>0</v>
      </c>
      <c r="V26" s="35">
        <f t="shared" si="24"/>
        <v>0</v>
      </c>
      <c r="W26" s="36">
        <f t="shared" si="25"/>
        <v>0</v>
      </c>
      <c r="X26" s="36" t="str">
        <f t="shared" si="26"/>
        <v>#DIV/0!</v>
      </c>
      <c r="Y26" s="36" t="str">
        <f t="shared" si="27"/>
        <v>#DIV/0!</v>
      </c>
      <c r="Z26" s="37" t="str">
        <f t="shared" si="28"/>
        <v>#DIV/0!</v>
      </c>
      <c r="AA26" s="42">
        <v>50.0</v>
      </c>
      <c r="AB26" s="39" t="str">
        <f t="shared" si="29"/>
        <v>#DIV/0!</v>
      </c>
      <c r="AC26" s="39" t="str">
        <f t="shared" si="30"/>
        <v>#DIV/0!</v>
      </c>
      <c r="AD26" s="40" t="str">
        <f t="shared" si="31"/>
        <v>#DIV/0!</v>
      </c>
      <c r="AE26" s="40" t="str">
        <f t="shared" si="32"/>
        <v>#DIV/0!</v>
      </c>
    </row>
    <row r="27" ht="24.0" customHeight="1">
      <c r="A27" s="1"/>
      <c r="B27" s="33">
        <v>19.0</v>
      </c>
      <c r="C27" s="41" t="s">
        <v>43</v>
      </c>
      <c r="D27" s="33">
        <v>3.1</v>
      </c>
      <c r="E27" s="33">
        <v>9.06</v>
      </c>
      <c r="F27" s="33">
        <v>2.94</v>
      </c>
      <c r="G27" s="34">
        <f t="shared" si="20"/>
        <v>0.7856135875</v>
      </c>
      <c r="H27" s="33">
        <v>1.0</v>
      </c>
      <c r="I27" s="33">
        <v>2.0</v>
      </c>
      <c r="J27" s="33">
        <f t="shared" si="21"/>
        <v>3</v>
      </c>
      <c r="K27" s="33">
        <f t="shared" si="22"/>
        <v>9</v>
      </c>
      <c r="L27" s="23"/>
      <c r="M27" s="23"/>
      <c r="N27" s="23"/>
      <c r="O27" s="23"/>
      <c r="P27" s="23"/>
      <c r="Q27" s="23"/>
      <c r="R27" s="23"/>
      <c r="S27" s="23"/>
      <c r="T27" s="23"/>
      <c r="U27" s="35">
        <f t="shared" si="23"/>
        <v>0</v>
      </c>
      <c r="V27" s="35">
        <f t="shared" si="24"/>
        <v>0</v>
      </c>
      <c r="W27" s="36">
        <f t="shared" si="25"/>
        <v>0</v>
      </c>
      <c r="X27" s="36" t="str">
        <f t="shared" si="26"/>
        <v>#DIV/0!</v>
      </c>
      <c r="Y27" s="36" t="str">
        <f t="shared" si="27"/>
        <v>#DIV/0!</v>
      </c>
      <c r="Z27" s="37" t="str">
        <f t="shared" si="28"/>
        <v>#DIV/0!</v>
      </c>
      <c r="AA27" s="42">
        <v>50.0</v>
      </c>
      <c r="AB27" s="39" t="str">
        <f t="shared" si="29"/>
        <v>#DIV/0!</v>
      </c>
      <c r="AC27" s="39" t="str">
        <f t="shared" si="30"/>
        <v>#DIV/0!</v>
      </c>
      <c r="AD27" s="40" t="str">
        <f t="shared" si="31"/>
        <v>#DIV/0!</v>
      </c>
      <c r="AE27" s="40" t="str">
        <f t="shared" si="32"/>
        <v>#DIV/0!</v>
      </c>
    </row>
    <row r="28" ht="24.0" customHeight="1">
      <c r="A28" s="1"/>
      <c r="B28" s="31">
        <v>20.0</v>
      </c>
      <c r="C28" s="41" t="s">
        <v>44</v>
      </c>
      <c r="D28" s="33">
        <v>3.03</v>
      </c>
      <c r="E28" s="33">
        <v>20.87</v>
      </c>
      <c r="F28" s="33">
        <v>2.94</v>
      </c>
      <c r="G28" s="34">
        <f t="shared" si="20"/>
        <v>0.8999530356</v>
      </c>
      <c r="H28" s="33">
        <v>1.0</v>
      </c>
      <c r="I28" s="33">
        <v>2.0</v>
      </c>
      <c r="J28" s="33">
        <f t="shared" si="21"/>
        <v>3</v>
      </c>
      <c r="K28" s="33">
        <f t="shared" si="22"/>
        <v>9</v>
      </c>
      <c r="L28" s="23"/>
      <c r="M28" s="23"/>
      <c r="N28" s="23"/>
      <c r="O28" s="23"/>
      <c r="P28" s="23"/>
      <c r="Q28" s="23"/>
      <c r="R28" s="23"/>
      <c r="S28" s="23"/>
      <c r="T28" s="23"/>
      <c r="U28" s="35">
        <f t="shared" si="23"/>
        <v>0</v>
      </c>
      <c r="V28" s="35">
        <f t="shared" si="24"/>
        <v>0</v>
      </c>
      <c r="W28" s="36">
        <f t="shared" si="25"/>
        <v>0</v>
      </c>
      <c r="X28" s="36" t="str">
        <f t="shared" si="26"/>
        <v>#DIV/0!</v>
      </c>
      <c r="Y28" s="36" t="str">
        <f t="shared" si="27"/>
        <v>#DIV/0!</v>
      </c>
      <c r="Z28" s="37" t="str">
        <f t="shared" si="28"/>
        <v>#DIV/0!</v>
      </c>
      <c r="AA28" s="42">
        <v>50.0</v>
      </c>
      <c r="AB28" s="39" t="str">
        <f t="shared" si="29"/>
        <v>#DIV/0!</v>
      </c>
      <c r="AC28" s="39" t="str">
        <f t="shared" si="30"/>
        <v>#DIV/0!</v>
      </c>
      <c r="AD28" s="40" t="str">
        <f t="shared" si="31"/>
        <v>#DIV/0!</v>
      </c>
      <c r="AE28" s="40" t="str">
        <f t="shared" si="32"/>
        <v>#DIV/0!</v>
      </c>
    </row>
    <row r="29" ht="24.0" customHeight="1">
      <c r="A29" s="1"/>
      <c r="B29" s="33">
        <v>21.0</v>
      </c>
      <c r="C29" s="41" t="s">
        <v>45</v>
      </c>
      <c r="D29" s="33">
        <v>4.22</v>
      </c>
      <c r="E29" s="33">
        <v>5.55</v>
      </c>
      <c r="F29" s="33">
        <v>2.94</v>
      </c>
      <c r="G29" s="34">
        <f t="shared" si="20"/>
        <v>0.8153865436</v>
      </c>
      <c r="H29" s="33">
        <v>1.0</v>
      </c>
      <c r="I29" s="33">
        <v>2.0</v>
      </c>
      <c r="J29" s="33">
        <f t="shared" si="21"/>
        <v>3</v>
      </c>
      <c r="K29" s="33">
        <f t="shared" si="22"/>
        <v>9</v>
      </c>
      <c r="L29" s="23"/>
      <c r="M29" s="23"/>
      <c r="N29" s="23"/>
      <c r="O29" s="23"/>
      <c r="P29" s="23"/>
      <c r="Q29" s="23"/>
      <c r="R29" s="23"/>
      <c r="S29" s="23"/>
      <c r="T29" s="23"/>
      <c r="U29" s="35">
        <f t="shared" si="23"/>
        <v>0</v>
      </c>
      <c r="V29" s="35">
        <f t="shared" si="24"/>
        <v>0</v>
      </c>
      <c r="W29" s="36">
        <f t="shared" si="25"/>
        <v>0</v>
      </c>
      <c r="X29" s="36" t="str">
        <f t="shared" si="26"/>
        <v>#DIV/0!</v>
      </c>
      <c r="Y29" s="36" t="str">
        <f t="shared" si="27"/>
        <v>#DIV/0!</v>
      </c>
      <c r="Z29" s="37" t="str">
        <f t="shared" si="28"/>
        <v>#DIV/0!</v>
      </c>
      <c r="AA29" s="42">
        <v>50.0</v>
      </c>
      <c r="AB29" s="39" t="str">
        <f t="shared" si="29"/>
        <v>#DIV/0!</v>
      </c>
      <c r="AC29" s="39" t="str">
        <f t="shared" si="30"/>
        <v>#DIV/0!</v>
      </c>
      <c r="AD29" s="40" t="str">
        <f t="shared" si="31"/>
        <v>#DIV/0!</v>
      </c>
      <c r="AE29" s="40" t="str">
        <f t="shared" si="32"/>
        <v>#DIV/0!</v>
      </c>
    </row>
    <row r="30" ht="24.0" hidden="1" customHeight="1">
      <c r="A30" s="1"/>
      <c r="B30" s="33">
        <v>22.0</v>
      </c>
      <c r="C30" s="41" t="s">
        <v>46</v>
      </c>
      <c r="D30" s="33">
        <v>4.98</v>
      </c>
      <c r="E30" s="33">
        <v>8.2</v>
      </c>
      <c r="F30" s="33">
        <v>2.94</v>
      </c>
      <c r="G30" s="34">
        <f t="shared" si="20"/>
        <v>1.053854015</v>
      </c>
      <c r="H30" s="33">
        <v>1.0</v>
      </c>
      <c r="I30" s="33">
        <v>2.0</v>
      </c>
      <c r="J30" s="33">
        <f t="shared" si="21"/>
        <v>3</v>
      </c>
      <c r="K30" s="33">
        <f t="shared" si="22"/>
        <v>9</v>
      </c>
      <c r="L30" s="23"/>
      <c r="M30" s="23"/>
      <c r="N30" s="23"/>
      <c r="O30" s="23"/>
      <c r="P30" s="23"/>
      <c r="Q30" s="23"/>
      <c r="R30" s="23"/>
      <c r="S30" s="23"/>
      <c r="T30" s="23"/>
      <c r="U30" s="35">
        <f t="shared" si="23"/>
        <v>0</v>
      </c>
      <c r="V30" s="35">
        <f t="shared" si="24"/>
        <v>0</v>
      </c>
      <c r="W30" s="36">
        <f t="shared" si="25"/>
        <v>0</v>
      </c>
      <c r="X30" s="36" t="str">
        <f t="shared" si="26"/>
        <v>#DIV/0!</v>
      </c>
      <c r="Y30" s="36" t="str">
        <f t="shared" si="27"/>
        <v>#DIV/0!</v>
      </c>
      <c r="Z30" s="37" t="str">
        <f t="shared" si="28"/>
        <v>#DIV/0!</v>
      </c>
      <c r="AA30" s="42">
        <v>300.0</v>
      </c>
      <c r="AB30" s="39" t="str">
        <f t="shared" si="29"/>
        <v>#DIV/0!</v>
      </c>
      <c r="AC30" s="39" t="str">
        <f t="shared" si="30"/>
        <v>#DIV/0!</v>
      </c>
      <c r="AD30" s="40" t="str">
        <f t="shared" si="31"/>
        <v>#DIV/0!</v>
      </c>
      <c r="AE30" s="40" t="str">
        <f t="shared" si="32"/>
        <v>#DIV/0!</v>
      </c>
    </row>
    <row r="31" ht="24.0" customHeight="1">
      <c r="A31" s="1"/>
      <c r="B31" s="31">
        <v>23.0</v>
      </c>
      <c r="C31" s="41" t="s">
        <v>47</v>
      </c>
      <c r="D31" s="33" t="s">
        <v>28</v>
      </c>
      <c r="E31" s="33" t="s">
        <v>28</v>
      </c>
      <c r="F31" s="33" t="s">
        <v>28</v>
      </c>
      <c r="G31" s="43" t="s">
        <v>28</v>
      </c>
      <c r="H31" s="33" t="s">
        <v>28</v>
      </c>
      <c r="I31" s="33" t="s">
        <v>28</v>
      </c>
      <c r="J31" s="33" t="s">
        <v>28</v>
      </c>
      <c r="K31" s="33" t="s">
        <v>28</v>
      </c>
      <c r="L31" s="23"/>
      <c r="M31" s="23"/>
      <c r="N31" s="23"/>
      <c r="O31" s="33" t="s">
        <v>28</v>
      </c>
      <c r="P31" s="33" t="s">
        <v>28</v>
      </c>
      <c r="Q31" s="33" t="s">
        <v>28</v>
      </c>
      <c r="R31" s="33" t="s">
        <v>28</v>
      </c>
      <c r="S31" s="33" t="s">
        <v>28</v>
      </c>
      <c r="T31" s="33" t="s">
        <v>28</v>
      </c>
      <c r="U31" s="35">
        <f t="shared" si="23"/>
        <v>0</v>
      </c>
      <c r="V31" s="35">
        <f t="shared" si="24"/>
        <v>0</v>
      </c>
      <c r="W31" s="36">
        <f t="shared" si="25"/>
        <v>0</v>
      </c>
      <c r="X31" s="36" t="str">
        <f t="shared" si="26"/>
        <v>#DIV/0!</v>
      </c>
      <c r="Y31" s="36" t="str">
        <f t="shared" si="27"/>
        <v>#DIV/0!</v>
      </c>
      <c r="Z31" s="37" t="str">
        <f t="shared" si="28"/>
        <v>#DIV/0!</v>
      </c>
      <c r="AA31" s="42">
        <v>300.0</v>
      </c>
      <c r="AB31" s="39" t="str">
        <f t="shared" si="29"/>
        <v>#DIV/0!</v>
      </c>
      <c r="AC31" s="39" t="str">
        <f t="shared" si="30"/>
        <v>#DIV/0!</v>
      </c>
      <c r="AD31" s="40" t="str">
        <f t="shared" si="31"/>
        <v>#DIV/0!</v>
      </c>
      <c r="AE31" s="40" t="str">
        <f t="shared" si="32"/>
        <v>#DIV/0!</v>
      </c>
    </row>
    <row r="32" ht="24.0" customHeight="1">
      <c r="A32" s="1"/>
      <c r="B32" s="33">
        <v>24.0</v>
      </c>
      <c r="C32" s="41" t="s">
        <v>48</v>
      </c>
      <c r="D32" s="33" t="s">
        <v>28</v>
      </c>
      <c r="E32" s="33" t="s">
        <v>28</v>
      </c>
      <c r="F32" s="33" t="s">
        <v>28</v>
      </c>
      <c r="G32" s="33" t="s">
        <v>28</v>
      </c>
      <c r="H32" s="33" t="s">
        <v>28</v>
      </c>
      <c r="I32" s="33" t="s">
        <v>28</v>
      </c>
      <c r="J32" s="33" t="s">
        <v>28</v>
      </c>
      <c r="K32" s="33" t="s">
        <v>28</v>
      </c>
      <c r="L32" s="23"/>
      <c r="M32" s="23"/>
      <c r="N32" s="23"/>
      <c r="O32" s="33" t="s">
        <v>28</v>
      </c>
      <c r="P32" s="33" t="s">
        <v>28</v>
      </c>
      <c r="Q32" s="33" t="s">
        <v>28</v>
      </c>
      <c r="R32" s="33" t="s">
        <v>28</v>
      </c>
      <c r="S32" s="33" t="s">
        <v>28</v>
      </c>
      <c r="T32" s="33" t="s">
        <v>28</v>
      </c>
      <c r="U32" s="35">
        <f t="shared" si="23"/>
        <v>0</v>
      </c>
      <c r="V32" s="35">
        <f t="shared" si="24"/>
        <v>0</v>
      </c>
      <c r="W32" s="36">
        <f t="shared" si="25"/>
        <v>0</v>
      </c>
      <c r="X32" s="36" t="str">
        <f t="shared" si="26"/>
        <v>#DIV/0!</v>
      </c>
      <c r="Y32" s="36" t="str">
        <f t="shared" si="27"/>
        <v>#DIV/0!</v>
      </c>
      <c r="Z32" s="37" t="str">
        <f t="shared" si="28"/>
        <v>#DIV/0!</v>
      </c>
      <c r="AA32" s="42">
        <v>100.0</v>
      </c>
      <c r="AB32" s="39" t="str">
        <f t="shared" si="29"/>
        <v>#DIV/0!</v>
      </c>
      <c r="AC32" s="39" t="str">
        <f t="shared" si="30"/>
        <v>#DIV/0!</v>
      </c>
      <c r="AD32" s="40" t="str">
        <f t="shared" si="31"/>
        <v>#DIV/0!</v>
      </c>
      <c r="AE32" s="40" t="str">
        <f t="shared" si="32"/>
        <v>#DIV/0!</v>
      </c>
    </row>
    <row r="33" ht="35.25" customHeight="1">
      <c r="A33" s="1"/>
      <c r="B33" s="6" t="s">
        <v>3</v>
      </c>
      <c r="C33" s="6" t="s">
        <v>4</v>
      </c>
      <c r="D33" s="7" t="s">
        <v>5</v>
      </c>
      <c r="E33" s="8"/>
      <c r="F33" s="9"/>
      <c r="G33" s="6" t="s">
        <v>6</v>
      </c>
      <c r="H33" s="6" t="s">
        <v>7</v>
      </c>
      <c r="I33" s="6" t="s">
        <v>8</v>
      </c>
      <c r="J33" s="6" t="s">
        <v>9</v>
      </c>
      <c r="K33" s="6" t="s">
        <v>10</v>
      </c>
      <c r="L33" s="7" t="s">
        <v>11</v>
      </c>
      <c r="M33" s="8"/>
      <c r="N33" s="8"/>
      <c r="O33" s="8"/>
      <c r="P33" s="8"/>
      <c r="Q33" s="8"/>
      <c r="R33" s="8"/>
      <c r="S33" s="8"/>
      <c r="T33" s="10"/>
      <c r="U33" s="11" t="s">
        <v>12</v>
      </c>
      <c r="V33" s="11" t="s">
        <v>13</v>
      </c>
      <c r="W33" s="12" t="s">
        <v>14</v>
      </c>
      <c r="X33" s="13"/>
      <c r="Y33" s="14"/>
      <c r="Z33" s="6" t="s">
        <v>15</v>
      </c>
      <c r="AA33" s="6" t="s">
        <v>16</v>
      </c>
      <c r="AB33" s="6" t="s">
        <v>17</v>
      </c>
      <c r="AC33" s="6" t="s">
        <v>18</v>
      </c>
      <c r="AD33" s="6" t="s">
        <v>19</v>
      </c>
      <c r="AE33" s="6" t="s">
        <v>20</v>
      </c>
    </row>
    <row r="34" ht="33.0" customHeight="1">
      <c r="A34" s="1"/>
      <c r="B34" s="15"/>
      <c r="C34" s="15"/>
      <c r="D34" s="16" t="s">
        <v>21</v>
      </c>
      <c r="E34" s="16" t="s">
        <v>22</v>
      </c>
      <c r="F34" s="16" t="s">
        <v>23</v>
      </c>
      <c r="G34" s="15"/>
      <c r="H34" s="15"/>
      <c r="I34" s="15"/>
      <c r="J34" s="15"/>
      <c r="K34" s="15"/>
      <c r="L34" s="17">
        <v>1.0</v>
      </c>
      <c r="M34" s="17">
        <v>2.0</v>
      </c>
      <c r="N34" s="17">
        <v>3.0</v>
      </c>
      <c r="O34" s="17">
        <v>4.0</v>
      </c>
      <c r="P34" s="17">
        <v>5.0</v>
      </c>
      <c r="Q34" s="17">
        <v>6.0</v>
      </c>
      <c r="R34" s="17">
        <v>7.0</v>
      </c>
      <c r="S34" s="17">
        <v>8.0</v>
      </c>
      <c r="T34" s="17">
        <v>9.0</v>
      </c>
      <c r="U34" s="15"/>
      <c r="V34" s="15"/>
      <c r="W34" s="18"/>
      <c r="X34" s="19"/>
      <c r="Y34" s="20"/>
      <c r="Z34" s="15"/>
      <c r="AA34" s="15"/>
      <c r="AB34" s="15"/>
      <c r="AC34" s="15"/>
      <c r="AD34" s="15"/>
      <c r="AE34" s="15"/>
    </row>
    <row r="35" ht="24.0" customHeight="1">
      <c r="A35" s="1"/>
      <c r="B35" s="33">
        <v>25.0</v>
      </c>
      <c r="C35" s="41" t="s">
        <v>49</v>
      </c>
      <c r="D35" s="33" t="s">
        <v>28</v>
      </c>
      <c r="E35" s="33" t="s">
        <v>28</v>
      </c>
      <c r="F35" s="33" t="s">
        <v>28</v>
      </c>
      <c r="G35" s="33" t="s">
        <v>28</v>
      </c>
      <c r="H35" s="33" t="s">
        <v>28</v>
      </c>
      <c r="I35" s="33" t="s">
        <v>28</v>
      </c>
      <c r="J35" s="33" t="s">
        <v>28</v>
      </c>
      <c r="K35" s="33" t="s">
        <v>28</v>
      </c>
      <c r="L35" s="23"/>
      <c r="M35" s="23"/>
      <c r="N35" s="23"/>
      <c r="O35" s="33" t="s">
        <v>28</v>
      </c>
      <c r="P35" s="33" t="s">
        <v>28</v>
      </c>
      <c r="Q35" s="33" t="s">
        <v>28</v>
      </c>
      <c r="R35" s="33" t="s">
        <v>28</v>
      </c>
      <c r="S35" s="33" t="s">
        <v>28</v>
      </c>
      <c r="T35" s="33" t="s">
        <v>28</v>
      </c>
      <c r="U35" s="35">
        <f t="shared" ref="U35:U53" si="33">MAX(L35:T35)</f>
        <v>0</v>
      </c>
      <c r="V35" s="35">
        <f t="shared" ref="V35:V53" si="34">MIN(L35:T35)</f>
        <v>0</v>
      </c>
      <c r="W35" s="36">
        <f t="shared" ref="W35:W58" si="35">MIN(L35:T35)</f>
        <v>0</v>
      </c>
      <c r="X35" s="36" t="str">
        <f t="shared" ref="X35:X58" si="36">IF(W35&gt;Y35,"&gt;","&lt;")</f>
        <v>#DIV/0!</v>
      </c>
      <c r="Y35" s="36" t="str">
        <f t="shared" ref="Y35:Y58" si="37">+Z35/2</f>
        <v>#DIV/0!</v>
      </c>
      <c r="Z35" s="37" t="str">
        <f t="shared" ref="Z35:Z58" si="38">AVERAGE(L35:T35)</f>
        <v>#DIV/0!</v>
      </c>
      <c r="AA35" s="42">
        <v>100.0</v>
      </c>
      <c r="AB35" s="39" t="str">
        <f t="shared" ref="AB35:AB58" si="39">IF(W35&gt;Y35,"SI","NO")</f>
        <v>#DIV/0!</v>
      </c>
      <c r="AC35" s="39" t="str">
        <f t="shared" ref="AC35:AC58" si="40">IF(Z35&gt;AA35,"SI","NO")</f>
        <v>#DIV/0!</v>
      </c>
      <c r="AD35" s="40" t="str">
        <f t="shared" ref="AD35:AD58" si="41">IF(AB35=AE$2,"1","0")</f>
        <v>#DIV/0!</v>
      </c>
      <c r="AE35" s="40" t="str">
        <f t="shared" ref="AE35:AE58" si="42">IF(AC35=AE$2,"1","0")</f>
        <v>#DIV/0!</v>
      </c>
    </row>
    <row r="36" ht="24.0" customHeight="1">
      <c r="A36" s="1"/>
      <c r="B36" s="31">
        <v>26.0</v>
      </c>
      <c r="C36" s="44" t="s">
        <v>50</v>
      </c>
      <c r="D36" s="33" t="s">
        <v>28</v>
      </c>
      <c r="E36" s="33" t="s">
        <v>28</v>
      </c>
      <c r="F36" s="33" t="s">
        <v>28</v>
      </c>
      <c r="G36" s="33" t="s">
        <v>28</v>
      </c>
      <c r="H36" s="33" t="s">
        <v>28</v>
      </c>
      <c r="I36" s="33" t="s">
        <v>28</v>
      </c>
      <c r="J36" s="33" t="s">
        <v>28</v>
      </c>
      <c r="K36" s="33" t="s">
        <v>28</v>
      </c>
      <c r="L36" s="23"/>
      <c r="M36" s="23"/>
      <c r="N36" s="33"/>
      <c r="O36" s="33" t="s">
        <v>28</v>
      </c>
      <c r="P36" s="33" t="s">
        <v>28</v>
      </c>
      <c r="Q36" s="33" t="s">
        <v>28</v>
      </c>
      <c r="R36" s="33" t="s">
        <v>28</v>
      </c>
      <c r="S36" s="33" t="s">
        <v>28</v>
      </c>
      <c r="T36" s="33" t="s">
        <v>28</v>
      </c>
      <c r="U36" s="35">
        <f t="shared" si="33"/>
        <v>0</v>
      </c>
      <c r="V36" s="35">
        <f t="shared" si="34"/>
        <v>0</v>
      </c>
      <c r="W36" s="36">
        <f t="shared" si="35"/>
        <v>0</v>
      </c>
      <c r="X36" s="36" t="str">
        <f t="shared" si="36"/>
        <v>#DIV/0!</v>
      </c>
      <c r="Y36" s="36" t="str">
        <f t="shared" si="37"/>
        <v>#DIV/0!</v>
      </c>
      <c r="Z36" s="37" t="str">
        <f t="shared" si="38"/>
        <v>#DIV/0!</v>
      </c>
      <c r="AA36" s="42">
        <v>100.0</v>
      </c>
      <c r="AB36" s="39" t="str">
        <f t="shared" si="39"/>
        <v>#DIV/0!</v>
      </c>
      <c r="AC36" s="39" t="str">
        <f t="shared" si="40"/>
        <v>#DIV/0!</v>
      </c>
      <c r="AD36" s="40" t="str">
        <f t="shared" si="41"/>
        <v>#DIV/0!</v>
      </c>
      <c r="AE36" s="40" t="str">
        <f t="shared" si="42"/>
        <v>#DIV/0!</v>
      </c>
    </row>
    <row r="37" ht="24.0" customHeight="1">
      <c r="A37" s="1"/>
      <c r="B37" s="33">
        <v>27.0</v>
      </c>
      <c r="C37" s="44" t="s">
        <v>51</v>
      </c>
      <c r="D37" s="33" t="s">
        <v>28</v>
      </c>
      <c r="E37" s="33" t="s">
        <v>28</v>
      </c>
      <c r="F37" s="33" t="s">
        <v>28</v>
      </c>
      <c r="G37" s="33" t="s">
        <v>28</v>
      </c>
      <c r="H37" s="33" t="s">
        <v>28</v>
      </c>
      <c r="I37" s="33" t="s">
        <v>28</v>
      </c>
      <c r="J37" s="33" t="s">
        <v>28</v>
      </c>
      <c r="K37" s="33" t="s">
        <v>28</v>
      </c>
      <c r="L37" s="23"/>
      <c r="M37" s="23"/>
      <c r="N37" s="33"/>
      <c r="O37" s="33" t="s">
        <v>28</v>
      </c>
      <c r="P37" s="33" t="s">
        <v>28</v>
      </c>
      <c r="Q37" s="33" t="s">
        <v>28</v>
      </c>
      <c r="R37" s="33" t="s">
        <v>28</v>
      </c>
      <c r="S37" s="33" t="s">
        <v>28</v>
      </c>
      <c r="T37" s="33" t="s">
        <v>28</v>
      </c>
      <c r="U37" s="35">
        <f t="shared" si="33"/>
        <v>0</v>
      </c>
      <c r="V37" s="35">
        <f t="shared" si="34"/>
        <v>0</v>
      </c>
      <c r="W37" s="36">
        <f t="shared" si="35"/>
        <v>0</v>
      </c>
      <c r="X37" s="36" t="str">
        <f t="shared" si="36"/>
        <v>#DIV/0!</v>
      </c>
      <c r="Y37" s="36" t="str">
        <f t="shared" si="37"/>
        <v>#DIV/0!</v>
      </c>
      <c r="Z37" s="37" t="str">
        <f t="shared" si="38"/>
        <v>#DIV/0!</v>
      </c>
      <c r="AA37" s="42">
        <v>100.0</v>
      </c>
      <c r="AB37" s="39" t="str">
        <f t="shared" si="39"/>
        <v>#DIV/0!</v>
      </c>
      <c r="AC37" s="39" t="str">
        <f t="shared" si="40"/>
        <v>#DIV/0!</v>
      </c>
      <c r="AD37" s="40" t="str">
        <f t="shared" si="41"/>
        <v>#DIV/0!</v>
      </c>
      <c r="AE37" s="40" t="str">
        <f t="shared" si="42"/>
        <v>#DIV/0!</v>
      </c>
    </row>
    <row r="38" ht="24.0" customHeight="1">
      <c r="A38" s="1"/>
      <c r="B38" s="33">
        <v>28.0</v>
      </c>
      <c r="C38" s="41" t="s">
        <v>52</v>
      </c>
      <c r="D38" s="33" t="s">
        <v>28</v>
      </c>
      <c r="E38" s="33" t="s">
        <v>28</v>
      </c>
      <c r="F38" s="33" t="s">
        <v>28</v>
      </c>
      <c r="G38" s="33" t="s">
        <v>28</v>
      </c>
      <c r="H38" s="33" t="s">
        <v>28</v>
      </c>
      <c r="I38" s="33" t="s">
        <v>28</v>
      </c>
      <c r="J38" s="33" t="s">
        <v>28</v>
      </c>
      <c r="K38" s="33" t="s">
        <v>28</v>
      </c>
      <c r="L38" s="23"/>
      <c r="M38" s="23"/>
      <c r="N38" s="33"/>
      <c r="O38" s="33" t="s">
        <v>28</v>
      </c>
      <c r="P38" s="33" t="s">
        <v>28</v>
      </c>
      <c r="Q38" s="33" t="s">
        <v>28</v>
      </c>
      <c r="R38" s="33" t="s">
        <v>28</v>
      </c>
      <c r="S38" s="33" t="s">
        <v>28</v>
      </c>
      <c r="T38" s="33" t="s">
        <v>28</v>
      </c>
      <c r="U38" s="35">
        <f t="shared" si="33"/>
        <v>0</v>
      </c>
      <c r="V38" s="35">
        <f t="shared" si="34"/>
        <v>0</v>
      </c>
      <c r="W38" s="36">
        <f t="shared" si="35"/>
        <v>0</v>
      </c>
      <c r="X38" s="36" t="str">
        <f t="shared" si="36"/>
        <v>#DIV/0!</v>
      </c>
      <c r="Y38" s="36" t="str">
        <f t="shared" si="37"/>
        <v>#DIV/0!</v>
      </c>
      <c r="Z38" s="37" t="str">
        <f t="shared" si="38"/>
        <v>#DIV/0!</v>
      </c>
      <c r="AA38" s="42">
        <v>100.0</v>
      </c>
      <c r="AB38" s="39" t="str">
        <f t="shared" si="39"/>
        <v>#DIV/0!</v>
      </c>
      <c r="AC38" s="39" t="str">
        <f t="shared" si="40"/>
        <v>#DIV/0!</v>
      </c>
      <c r="AD38" s="40" t="str">
        <f t="shared" si="41"/>
        <v>#DIV/0!</v>
      </c>
      <c r="AE38" s="40" t="str">
        <f t="shared" si="42"/>
        <v>#DIV/0!</v>
      </c>
    </row>
    <row r="39" ht="24.0" customHeight="1">
      <c r="A39" s="1"/>
      <c r="B39" s="31">
        <v>29.0</v>
      </c>
      <c r="C39" s="41" t="s">
        <v>53</v>
      </c>
      <c r="D39" s="33">
        <v>2.6</v>
      </c>
      <c r="E39" s="33">
        <v>2.33</v>
      </c>
      <c r="F39" s="33">
        <v>2.7</v>
      </c>
      <c r="G39" s="34">
        <f t="shared" ref="G39:G45" si="43">+(D39*E39)/(F39*(D39+E39))</f>
        <v>0.4551123131</v>
      </c>
      <c r="H39" s="33">
        <v>1.0</v>
      </c>
      <c r="I39" s="33">
        <v>2.0</v>
      </c>
      <c r="J39" s="33">
        <f t="shared" ref="J39:J45" si="44">+H39+I39</f>
        <v>3</v>
      </c>
      <c r="K39" s="33">
        <f t="shared" ref="K39:K45" si="45">POWER(J39,2)</f>
        <v>9</v>
      </c>
      <c r="L39" s="23"/>
      <c r="M39" s="23"/>
      <c r="N39" s="23"/>
      <c r="O39" s="23"/>
      <c r="P39" s="23"/>
      <c r="Q39" s="23"/>
      <c r="R39" s="23"/>
      <c r="S39" s="23"/>
      <c r="T39" s="23"/>
      <c r="U39" s="35">
        <f t="shared" si="33"/>
        <v>0</v>
      </c>
      <c r="V39" s="35">
        <f t="shared" si="34"/>
        <v>0</v>
      </c>
      <c r="W39" s="36">
        <f t="shared" si="35"/>
        <v>0</v>
      </c>
      <c r="X39" s="36" t="str">
        <f t="shared" si="36"/>
        <v>#DIV/0!</v>
      </c>
      <c r="Y39" s="36" t="str">
        <f t="shared" si="37"/>
        <v>#DIV/0!</v>
      </c>
      <c r="Z39" s="37" t="str">
        <f t="shared" si="38"/>
        <v>#DIV/0!</v>
      </c>
      <c r="AA39" s="42">
        <v>300.0</v>
      </c>
      <c r="AB39" s="39" t="str">
        <f t="shared" si="39"/>
        <v>#DIV/0!</v>
      </c>
      <c r="AC39" s="39" t="str">
        <f t="shared" si="40"/>
        <v>#DIV/0!</v>
      </c>
      <c r="AD39" s="40" t="str">
        <f t="shared" si="41"/>
        <v>#DIV/0!</v>
      </c>
      <c r="AE39" s="40" t="str">
        <f t="shared" si="42"/>
        <v>#DIV/0!</v>
      </c>
    </row>
    <row r="40" ht="24.0" customHeight="1">
      <c r="A40" s="1"/>
      <c r="B40" s="33">
        <v>30.0</v>
      </c>
      <c r="C40" s="41" t="s">
        <v>54</v>
      </c>
      <c r="D40" s="33">
        <v>2.61</v>
      </c>
      <c r="E40" s="33">
        <v>4.71</v>
      </c>
      <c r="F40" s="33">
        <v>2.7</v>
      </c>
      <c r="G40" s="34">
        <f t="shared" si="43"/>
        <v>0.6219945355</v>
      </c>
      <c r="H40" s="33">
        <v>1.0</v>
      </c>
      <c r="I40" s="33">
        <v>2.0</v>
      </c>
      <c r="J40" s="33">
        <f t="shared" si="44"/>
        <v>3</v>
      </c>
      <c r="K40" s="33">
        <f t="shared" si="45"/>
        <v>9</v>
      </c>
      <c r="L40" s="23"/>
      <c r="M40" s="23"/>
      <c r="N40" s="23"/>
      <c r="O40" s="23"/>
      <c r="P40" s="23"/>
      <c r="Q40" s="23"/>
      <c r="R40" s="23"/>
      <c r="S40" s="23"/>
      <c r="T40" s="23"/>
      <c r="U40" s="35">
        <f t="shared" si="33"/>
        <v>0</v>
      </c>
      <c r="V40" s="35">
        <f t="shared" si="34"/>
        <v>0</v>
      </c>
      <c r="W40" s="36">
        <f t="shared" si="35"/>
        <v>0</v>
      </c>
      <c r="X40" s="36" t="str">
        <f t="shared" si="36"/>
        <v>#DIV/0!</v>
      </c>
      <c r="Y40" s="36" t="str">
        <f t="shared" si="37"/>
        <v>#DIV/0!</v>
      </c>
      <c r="Z40" s="37" t="str">
        <f t="shared" si="38"/>
        <v>#DIV/0!</v>
      </c>
      <c r="AA40" s="42">
        <v>300.0</v>
      </c>
      <c r="AB40" s="39" t="str">
        <f t="shared" si="39"/>
        <v>#DIV/0!</v>
      </c>
      <c r="AC40" s="39" t="str">
        <f t="shared" si="40"/>
        <v>#DIV/0!</v>
      </c>
      <c r="AD40" s="40" t="str">
        <f t="shared" si="41"/>
        <v>#DIV/0!</v>
      </c>
      <c r="AE40" s="40" t="str">
        <f t="shared" si="42"/>
        <v>#DIV/0!</v>
      </c>
    </row>
    <row r="41" ht="24.0" customHeight="1">
      <c r="A41" s="1"/>
      <c r="B41" s="33">
        <v>31.0</v>
      </c>
      <c r="C41" s="41" t="s">
        <v>55</v>
      </c>
      <c r="D41" s="33">
        <v>2.35</v>
      </c>
      <c r="E41" s="33">
        <v>2.8</v>
      </c>
      <c r="F41" s="33">
        <v>2.7</v>
      </c>
      <c r="G41" s="34">
        <f t="shared" si="43"/>
        <v>0.4732110752</v>
      </c>
      <c r="H41" s="33">
        <v>1.0</v>
      </c>
      <c r="I41" s="33">
        <v>2.0</v>
      </c>
      <c r="J41" s="33">
        <f t="shared" si="44"/>
        <v>3</v>
      </c>
      <c r="K41" s="33">
        <f t="shared" si="45"/>
        <v>9</v>
      </c>
      <c r="L41" s="23"/>
      <c r="M41" s="23"/>
      <c r="N41" s="23"/>
      <c r="O41" s="23"/>
      <c r="P41" s="23"/>
      <c r="Q41" s="23"/>
      <c r="R41" s="23"/>
      <c r="S41" s="23"/>
      <c r="T41" s="23"/>
      <c r="U41" s="35">
        <f t="shared" si="33"/>
        <v>0</v>
      </c>
      <c r="V41" s="35">
        <f t="shared" si="34"/>
        <v>0</v>
      </c>
      <c r="W41" s="36">
        <f t="shared" si="35"/>
        <v>0</v>
      </c>
      <c r="X41" s="36" t="str">
        <f t="shared" si="36"/>
        <v>#DIV/0!</v>
      </c>
      <c r="Y41" s="36" t="str">
        <f t="shared" si="37"/>
        <v>#DIV/0!</v>
      </c>
      <c r="Z41" s="37" t="str">
        <f t="shared" si="38"/>
        <v>#DIV/0!</v>
      </c>
      <c r="AA41" s="42">
        <v>300.0</v>
      </c>
      <c r="AB41" s="39" t="str">
        <f t="shared" si="39"/>
        <v>#DIV/0!</v>
      </c>
      <c r="AC41" s="39" t="str">
        <f t="shared" si="40"/>
        <v>#DIV/0!</v>
      </c>
      <c r="AD41" s="40" t="str">
        <f t="shared" si="41"/>
        <v>#DIV/0!</v>
      </c>
      <c r="AE41" s="40" t="str">
        <f t="shared" si="42"/>
        <v>#DIV/0!</v>
      </c>
    </row>
    <row r="42" ht="24.0" customHeight="1">
      <c r="A42" s="1"/>
      <c r="B42" s="31">
        <v>32.0</v>
      </c>
      <c r="C42" s="41" t="s">
        <v>56</v>
      </c>
      <c r="D42" s="33">
        <v>4.1</v>
      </c>
      <c r="E42" s="33">
        <v>7.16</v>
      </c>
      <c r="F42" s="33">
        <v>2.7</v>
      </c>
      <c r="G42" s="34">
        <f t="shared" si="43"/>
        <v>0.9655943688</v>
      </c>
      <c r="H42" s="33">
        <v>1.0</v>
      </c>
      <c r="I42" s="33">
        <v>2.0</v>
      </c>
      <c r="J42" s="33">
        <f t="shared" si="44"/>
        <v>3</v>
      </c>
      <c r="K42" s="33">
        <f t="shared" si="45"/>
        <v>9</v>
      </c>
      <c r="L42" s="23"/>
      <c r="M42" s="23"/>
      <c r="N42" s="23"/>
      <c r="O42" s="23"/>
      <c r="P42" s="23"/>
      <c r="Q42" s="23"/>
      <c r="R42" s="23"/>
      <c r="S42" s="23"/>
      <c r="T42" s="23"/>
      <c r="U42" s="35">
        <f t="shared" si="33"/>
        <v>0</v>
      </c>
      <c r="V42" s="35">
        <f t="shared" si="34"/>
        <v>0</v>
      </c>
      <c r="W42" s="36">
        <f t="shared" si="35"/>
        <v>0</v>
      </c>
      <c r="X42" s="36" t="str">
        <f t="shared" si="36"/>
        <v>#DIV/0!</v>
      </c>
      <c r="Y42" s="36" t="str">
        <f t="shared" si="37"/>
        <v>#DIV/0!</v>
      </c>
      <c r="Z42" s="37" t="str">
        <f t="shared" si="38"/>
        <v>#DIV/0!</v>
      </c>
      <c r="AA42" s="42">
        <v>300.0</v>
      </c>
      <c r="AB42" s="39" t="str">
        <f t="shared" si="39"/>
        <v>#DIV/0!</v>
      </c>
      <c r="AC42" s="39" t="str">
        <f t="shared" si="40"/>
        <v>#DIV/0!</v>
      </c>
      <c r="AD42" s="40" t="str">
        <f t="shared" si="41"/>
        <v>#DIV/0!</v>
      </c>
      <c r="AE42" s="40" t="str">
        <f t="shared" si="42"/>
        <v>#DIV/0!</v>
      </c>
    </row>
    <row r="43" ht="24.0" customHeight="1">
      <c r="A43" s="1"/>
      <c r="B43" s="33">
        <v>33.0</v>
      </c>
      <c r="C43" s="41" t="s">
        <v>57</v>
      </c>
      <c r="D43" s="42">
        <v>4.04</v>
      </c>
      <c r="E43" s="42">
        <v>3.05</v>
      </c>
      <c r="F43" s="42">
        <v>2.7</v>
      </c>
      <c r="G43" s="34">
        <f t="shared" si="43"/>
        <v>0.6436817636</v>
      </c>
      <c r="H43" s="33">
        <v>1.0</v>
      </c>
      <c r="I43" s="33">
        <v>2.0</v>
      </c>
      <c r="J43" s="33">
        <f t="shared" si="44"/>
        <v>3</v>
      </c>
      <c r="K43" s="33">
        <f t="shared" si="45"/>
        <v>9</v>
      </c>
      <c r="L43" s="23"/>
      <c r="M43" s="23"/>
      <c r="N43" s="23"/>
      <c r="O43" s="23"/>
      <c r="P43" s="23"/>
      <c r="Q43" s="23"/>
      <c r="R43" s="23"/>
      <c r="S43" s="23"/>
      <c r="T43" s="23"/>
      <c r="U43" s="35">
        <f t="shared" si="33"/>
        <v>0</v>
      </c>
      <c r="V43" s="35">
        <f t="shared" si="34"/>
        <v>0</v>
      </c>
      <c r="W43" s="36">
        <f t="shared" si="35"/>
        <v>0</v>
      </c>
      <c r="X43" s="36" t="str">
        <f t="shared" si="36"/>
        <v>#DIV/0!</v>
      </c>
      <c r="Y43" s="36" t="str">
        <f t="shared" si="37"/>
        <v>#DIV/0!</v>
      </c>
      <c r="Z43" s="37" t="str">
        <f t="shared" si="38"/>
        <v>#DIV/0!</v>
      </c>
      <c r="AA43" s="42">
        <v>300.0</v>
      </c>
      <c r="AB43" s="39" t="str">
        <f t="shared" si="39"/>
        <v>#DIV/0!</v>
      </c>
      <c r="AC43" s="39" t="str">
        <f t="shared" si="40"/>
        <v>#DIV/0!</v>
      </c>
      <c r="AD43" s="40" t="str">
        <f t="shared" si="41"/>
        <v>#DIV/0!</v>
      </c>
      <c r="AE43" s="40" t="str">
        <f t="shared" si="42"/>
        <v>#DIV/0!</v>
      </c>
    </row>
    <row r="44" ht="24.0" customHeight="1">
      <c r="A44" s="1"/>
      <c r="B44" s="33">
        <v>34.0</v>
      </c>
      <c r="C44" s="41" t="s">
        <v>58</v>
      </c>
      <c r="D44" s="33">
        <v>4.67</v>
      </c>
      <c r="E44" s="33">
        <v>4.53</v>
      </c>
      <c r="F44" s="33">
        <v>2.67</v>
      </c>
      <c r="G44" s="34">
        <f t="shared" si="43"/>
        <v>0.8612237421</v>
      </c>
      <c r="H44" s="33">
        <v>1.0</v>
      </c>
      <c r="I44" s="33">
        <v>2.0</v>
      </c>
      <c r="J44" s="33">
        <f t="shared" si="44"/>
        <v>3</v>
      </c>
      <c r="K44" s="33">
        <f t="shared" si="45"/>
        <v>9</v>
      </c>
      <c r="L44" s="23"/>
      <c r="M44" s="23"/>
      <c r="N44" s="23"/>
      <c r="O44" s="23"/>
      <c r="P44" s="23"/>
      <c r="Q44" s="23"/>
      <c r="R44" s="23"/>
      <c r="S44" s="23"/>
      <c r="T44" s="23"/>
      <c r="U44" s="35">
        <f t="shared" si="33"/>
        <v>0</v>
      </c>
      <c r="V44" s="35">
        <f t="shared" si="34"/>
        <v>0</v>
      </c>
      <c r="W44" s="36">
        <f t="shared" si="35"/>
        <v>0</v>
      </c>
      <c r="X44" s="36" t="str">
        <f t="shared" si="36"/>
        <v>#DIV/0!</v>
      </c>
      <c r="Y44" s="36" t="str">
        <f t="shared" si="37"/>
        <v>#DIV/0!</v>
      </c>
      <c r="Z44" s="37" t="str">
        <f t="shared" si="38"/>
        <v>#DIV/0!</v>
      </c>
      <c r="AA44" s="42">
        <v>300.0</v>
      </c>
      <c r="AB44" s="39" t="str">
        <f t="shared" si="39"/>
        <v>#DIV/0!</v>
      </c>
      <c r="AC44" s="39" t="str">
        <f t="shared" si="40"/>
        <v>#DIV/0!</v>
      </c>
      <c r="AD44" s="40" t="str">
        <f t="shared" si="41"/>
        <v>#DIV/0!</v>
      </c>
      <c r="AE44" s="40" t="str">
        <f t="shared" si="42"/>
        <v>#DIV/0!</v>
      </c>
    </row>
    <row r="45" ht="24.0" customHeight="1">
      <c r="A45" s="1"/>
      <c r="B45" s="31">
        <v>35.0</v>
      </c>
      <c r="C45" s="41" t="s">
        <v>59</v>
      </c>
      <c r="D45" s="33">
        <v>5.6</v>
      </c>
      <c r="E45" s="33">
        <v>4.18</v>
      </c>
      <c r="F45" s="33">
        <v>3.83</v>
      </c>
      <c r="G45" s="34">
        <f t="shared" si="43"/>
        <v>0.6249232461</v>
      </c>
      <c r="H45" s="33">
        <v>1.0</v>
      </c>
      <c r="I45" s="33">
        <v>2.0</v>
      </c>
      <c r="J45" s="33">
        <f t="shared" si="44"/>
        <v>3</v>
      </c>
      <c r="K45" s="33">
        <f t="shared" si="45"/>
        <v>9</v>
      </c>
      <c r="L45" s="23"/>
      <c r="M45" s="23"/>
      <c r="N45" s="23"/>
      <c r="O45" s="23"/>
      <c r="P45" s="23"/>
      <c r="Q45" s="23"/>
      <c r="R45" s="23"/>
      <c r="S45" s="23"/>
      <c r="T45" s="23"/>
      <c r="U45" s="35">
        <f t="shared" si="33"/>
        <v>0</v>
      </c>
      <c r="V45" s="35">
        <f t="shared" si="34"/>
        <v>0</v>
      </c>
      <c r="W45" s="36">
        <f t="shared" si="35"/>
        <v>0</v>
      </c>
      <c r="X45" s="36" t="str">
        <f t="shared" si="36"/>
        <v>#DIV/0!</v>
      </c>
      <c r="Y45" s="36" t="str">
        <f t="shared" si="37"/>
        <v>#DIV/0!</v>
      </c>
      <c r="Z45" s="37" t="str">
        <f t="shared" si="38"/>
        <v>#DIV/0!</v>
      </c>
      <c r="AA45" s="42">
        <v>300.0</v>
      </c>
      <c r="AB45" s="39" t="str">
        <f t="shared" si="39"/>
        <v>#DIV/0!</v>
      </c>
      <c r="AC45" s="39" t="str">
        <f t="shared" si="40"/>
        <v>#DIV/0!</v>
      </c>
      <c r="AD45" s="40" t="str">
        <f t="shared" si="41"/>
        <v>#DIV/0!</v>
      </c>
      <c r="AE45" s="40" t="str">
        <f t="shared" si="42"/>
        <v>#DIV/0!</v>
      </c>
    </row>
    <row r="46" ht="24.0" customHeight="1">
      <c r="A46" s="1"/>
      <c r="B46" s="33">
        <v>36.0</v>
      </c>
      <c r="C46" s="41" t="s">
        <v>60</v>
      </c>
      <c r="D46" s="33" t="s">
        <v>28</v>
      </c>
      <c r="E46" s="33" t="s">
        <v>28</v>
      </c>
      <c r="F46" s="33" t="s">
        <v>28</v>
      </c>
      <c r="G46" s="33" t="s">
        <v>28</v>
      </c>
      <c r="H46" s="33" t="s">
        <v>28</v>
      </c>
      <c r="I46" s="33" t="s">
        <v>28</v>
      </c>
      <c r="J46" s="33" t="s">
        <v>28</v>
      </c>
      <c r="K46" s="33" t="s">
        <v>28</v>
      </c>
      <c r="L46" s="23"/>
      <c r="M46" s="23"/>
      <c r="N46" s="23"/>
      <c r="O46" s="33" t="s">
        <v>28</v>
      </c>
      <c r="P46" s="33" t="s">
        <v>28</v>
      </c>
      <c r="Q46" s="33" t="s">
        <v>28</v>
      </c>
      <c r="R46" s="33" t="s">
        <v>28</v>
      </c>
      <c r="S46" s="33" t="s">
        <v>28</v>
      </c>
      <c r="T46" s="33" t="s">
        <v>28</v>
      </c>
      <c r="U46" s="35">
        <f t="shared" si="33"/>
        <v>0</v>
      </c>
      <c r="V46" s="35">
        <f t="shared" si="34"/>
        <v>0</v>
      </c>
      <c r="W46" s="36">
        <f t="shared" si="35"/>
        <v>0</v>
      </c>
      <c r="X46" s="36" t="str">
        <f t="shared" si="36"/>
        <v>#DIV/0!</v>
      </c>
      <c r="Y46" s="36" t="str">
        <f t="shared" si="37"/>
        <v>#DIV/0!</v>
      </c>
      <c r="Z46" s="37" t="str">
        <f t="shared" si="38"/>
        <v>#DIV/0!</v>
      </c>
      <c r="AA46" s="42">
        <v>200.0</v>
      </c>
      <c r="AB46" s="39" t="str">
        <f t="shared" si="39"/>
        <v>#DIV/0!</v>
      </c>
      <c r="AC46" s="39" t="str">
        <f t="shared" si="40"/>
        <v>#DIV/0!</v>
      </c>
      <c r="AD46" s="40" t="str">
        <f t="shared" si="41"/>
        <v>#DIV/0!</v>
      </c>
      <c r="AE46" s="40" t="str">
        <f t="shared" si="42"/>
        <v>#DIV/0!</v>
      </c>
    </row>
    <row r="47" ht="24.0" customHeight="1">
      <c r="A47" s="1"/>
      <c r="B47" s="33">
        <v>37.0</v>
      </c>
      <c r="C47" s="41" t="s">
        <v>61</v>
      </c>
      <c r="D47" s="33" t="s">
        <v>28</v>
      </c>
      <c r="E47" s="33" t="s">
        <v>28</v>
      </c>
      <c r="F47" s="33" t="s">
        <v>28</v>
      </c>
      <c r="G47" s="33" t="s">
        <v>28</v>
      </c>
      <c r="H47" s="33" t="s">
        <v>28</v>
      </c>
      <c r="I47" s="33" t="s">
        <v>28</v>
      </c>
      <c r="J47" s="33" t="s">
        <v>28</v>
      </c>
      <c r="K47" s="33" t="s">
        <v>28</v>
      </c>
      <c r="L47" s="23"/>
      <c r="M47" s="23"/>
      <c r="N47" s="23"/>
      <c r="O47" s="33" t="s">
        <v>28</v>
      </c>
      <c r="P47" s="33" t="s">
        <v>28</v>
      </c>
      <c r="Q47" s="33" t="s">
        <v>28</v>
      </c>
      <c r="R47" s="33" t="s">
        <v>28</v>
      </c>
      <c r="S47" s="33" t="s">
        <v>28</v>
      </c>
      <c r="T47" s="33" t="s">
        <v>28</v>
      </c>
      <c r="U47" s="35">
        <f t="shared" si="33"/>
        <v>0</v>
      </c>
      <c r="V47" s="35">
        <f t="shared" si="34"/>
        <v>0</v>
      </c>
      <c r="W47" s="36">
        <f t="shared" si="35"/>
        <v>0</v>
      </c>
      <c r="X47" s="36" t="str">
        <f t="shared" si="36"/>
        <v>#DIV/0!</v>
      </c>
      <c r="Y47" s="36" t="str">
        <f t="shared" si="37"/>
        <v>#DIV/0!</v>
      </c>
      <c r="Z47" s="37" t="str">
        <f t="shared" si="38"/>
        <v>#DIV/0!</v>
      </c>
      <c r="AA47" s="42">
        <v>200.0</v>
      </c>
      <c r="AB47" s="39" t="str">
        <f t="shared" si="39"/>
        <v>#DIV/0!</v>
      </c>
      <c r="AC47" s="39" t="str">
        <f t="shared" si="40"/>
        <v>#DIV/0!</v>
      </c>
      <c r="AD47" s="40" t="str">
        <f t="shared" si="41"/>
        <v>#DIV/0!</v>
      </c>
      <c r="AE47" s="40" t="str">
        <f t="shared" si="42"/>
        <v>#DIV/0!</v>
      </c>
    </row>
    <row r="48" ht="24.0" customHeight="1">
      <c r="A48" s="1"/>
      <c r="B48" s="31">
        <v>38.0</v>
      </c>
      <c r="C48" s="41" t="s">
        <v>62</v>
      </c>
      <c r="D48" s="33">
        <v>2.97</v>
      </c>
      <c r="E48" s="33">
        <v>3.0</v>
      </c>
      <c r="F48" s="33">
        <v>2.7</v>
      </c>
      <c r="G48" s="21">
        <f>+(D48*E48)/(F48*(D48+E48))</f>
        <v>0.5527638191</v>
      </c>
      <c r="H48" s="33">
        <v>1.0</v>
      </c>
      <c r="I48" s="33">
        <v>2.0</v>
      </c>
      <c r="J48" s="33">
        <f>+H48+I48</f>
        <v>3</v>
      </c>
      <c r="K48" s="33">
        <f>POWER(J48,2)</f>
        <v>9</v>
      </c>
      <c r="L48" s="23"/>
      <c r="M48" s="23"/>
      <c r="N48" s="23"/>
      <c r="O48" s="23"/>
      <c r="P48" s="23"/>
      <c r="Q48" s="23"/>
      <c r="R48" s="23"/>
      <c r="S48" s="23"/>
      <c r="T48" s="23"/>
      <c r="U48" s="35">
        <f t="shared" si="33"/>
        <v>0</v>
      </c>
      <c r="V48" s="35">
        <f t="shared" si="34"/>
        <v>0</v>
      </c>
      <c r="W48" s="36">
        <f t="shared" si="35"/>
        <v>0</v>
      </c>
      <c r="X48" s="36" t="str">
        <f t="shared" si="36"/>
        <v>#DIV/0!</v>
      </c>
      <c r="Y48" s="36" t="str">
        <f t="shared" si="37"/>
        <v>#DIV/0!</v>
      </c>
      <c r="Z48" s="37" t="str">
        <f t="shared" si="38"/>
        <v>#DIV/0!</v>
      </c>
      <c r="AA48" s="42">
        <v>300.0</v>
      </c>
      <c r="AB48" s="39" t="str">
        <f t="shared" si="39"/>
        <v>#DIV/0!</v>
      </c>
      <c r="AC48" s="39" t="str">
        <f t="shared" si="40"/>
        <v>#DIV/0!</v>
      </c>
      <c r="AD48" s="40" t="str">
        <f t="shared" si="41"/>
        <v>#DIV/0!</v>
      </c>
      <c r="AE48" s="40" t="str">
        <f t="shared" si="42"/>
        <v>#DIV/0!</v>
      </c>
    </row>
    <row r="49" ht="24.0" customHeight="1">
      <c r="A49" s="1"/>
      <c r="B49" s="33">
        <v>39.0</v>
      </c>
      <c r="C49" s="41" t="s">
        <v>63</v>
      </c>
      <c r="D49" s="33" t="s">
        <v>28</v>
      </c>
      <c r="E49" s="33" t="s">
        <v>28</v>
      </c>
      <c r="F49" s="33" t="s">
        <v>28</v>
      </c>
      <c r="G49" s="33" t="s">
        <v>28</v>
      </c>
      <c r="H49" s="33" t="s">
        <v>28</v>
      </c>
      <c r="I49" s="33" t="s">
        <v>28</v>
      </c>
      <c r="J49" s="33" t="s">
        <v>28</v>
      </c>
      <c r="K49" s="33" t="s">
        <v>28</v>
      </c>
      <c r="L49" s="23"/>
      <c r="M49" s="23"/>
      <c r="N49" s="23"/>
      <c r="O49" s="33" t="s">
        <v>28</v>
      </c>
      <c r="P49" s="33" t="s">
        <v>28</v>
      </c>
      <c r="Q49" s="33" t="s">
        <v>28</v>
      </c>
      <c r="R49" s="33" t="s">
        <v>28</v>
      </c>
      <c r="S49" s="33" t="s">
        <v>28</v>
      </c>
      <c r="T49" s="33" t="s">
        <v>28</v>
      </c>
      <c r="U49" s="35">
        <f t="shared" si="33"/>
        <v>0</v>
      </c>
      <c r="V49" s="35">
        <f t="shared" si="34"/>
        <v>0</v>
      </c>
      <c r="W49" s="36">
        <f t="shared" si="35"/>
        <v>0</v>
      </c>
      <c r="X49" s="36" t="str">
        <f t="shared" si="36"/>
        <v>#DIV/0!</v>
      </c>
      <c r="Y49" s="36" t="str">
        <f t="shared" si="37"/>
        <v>#DIV/0!</v>
      </c>
      <c r="Z49" s="37" t="str">
        <f t="shared" si="38"/>
        <v>#DIV/0!</v>
      </c>
      <c r="AA49" s="42">
        <v>100.0</v>
      </c>
      <c r="AB49" s="39" t="str">
        <f t="shared" si="39"/>
        <v>#DIV/0!</v>
      </c>
      <c r="AC49" s="39" t="str">
        <f t="shared" si="40"/>
        <v>#DIV/0!</v>
      </c>
      <c r="AD49" s="40" t="str">
        <f t="shared" si="41"/>
        <v>#DIV/0!</v>
      </c>
      <c r="AE49" s="40" t="str">
        <f t="shared" si="42"/>
        <v>#DIV/0!</v>
      </c>
    </row>
    <row r="50" ht="24.0" customHeight="1">
      <c r="A50" s="1"/>
      <c r="B50" s="33">
        <v>40.0</v>
      </c>
      <c r="C50" s="41" t="s">
        <v>64</v>
      </c>
      <c r="D50" s="33">
        <v>3.94</v>
      </c>
      <c r="E50" s="33">
        <v>3.35</v>
      </c>
      <c r="F50" s="33">
        <v>3.32</v>
      </c>
      <c r="G50" s="34">
        <f>+(D50*E50)/(F50*(D50+E50))</f>
        <v>0.5453501248</v>
      </c>
      <c r="H50" s="33">
        <v>1.0</v>
      </c>
      <c r="I50" s="33">
        <v>2.0</v>
      </c>
      <c r="J50" s="33">
        <f>+H50+I50</f>
        <v>3</v>
      </c>
      <c r="K50" s="33">
        <f>POWER(J50,2)</f>
        <v>9</v>
      </c>
      <c r="L50" s="23"/>
      <c r="M50" s="23"/>
      <c r="N50" s="23"/>
      <c r="O50" s="23"/>
      <c r="P50" s="23"/>
      <c r="Q50" s="23"/>
      <c r="R50" s="23"/>
      <c r="S50" s="23"/>
      <c r="T50" s="23"/>
      <c r="U50" s="35">
        <f t="shared" si="33"/>
        <v>0</v>
      </c>
      <c r="V50" s="35">
        <f t="shared" si="34"/>
        <v>0</v>
      </c>
      <c r="W50" s="36">
        <f t="shared" si="35"/>
        <v>0</v>
      </c>
      <c r="X50" s="36" t="str">
        <f t="shared" si="36"/>
        <v>#DIV/0!</v>
      </c>
      <c r="Y50" s="36" t="str">
        <f t="shared" si="37"/>
        <v>#DIV/0!</v>
      </c>
      <c r="Z50" s="37" t="str">
        <f t="shared" si="38"/>
        <v>#DIV/0!</v>
      </c>
      <c r="AA50" s="42">
        <v>200.0</v>
      </c>
      <c r="AB50" s="39" t="str">
        <f t="shared" si="39"/>
        <v>#DIV/0!</v>
      </c>
      <c r="AC50" s="39" t="str">
        <f t="shared" si="40"/>
        <v>#DIV/0!</v>
      </c>
      <c r="AD50" s="40" t="str">
        <f t="shared" si="41"/>
        <v>#DIV/0!</v>
      </c>
      <c r="AE50" s="40" t="str">
        <f t="shared" si="42"/>
        <v>#DIV/0!</v>
      </c>
    </row>
    <row r="51" ht="24.0" customHeight="1">
      <c r="A51" s="1"/>
      <c r="B51" s="31">
        <v>41.0</v>
      </c>
      <c r="C51" s="45" t="s">
        <v>65</v>
      </c>
      <c r="D51" s="33" t="s">
        <v>28</v>
      </c>
      <c r="E51" s="33" t="s">
        <v>28</v>
      </c>
      <c r="F51" s="33" t="s">
        <v>28</v>
      </c>
      <c r="G51" s="33" t="s">
        <v>28</v>
      </c>
      <c r="H51" s="33" t="s">
        <v>28</v>
      </c>
      <c r="I51" s="33" t="s">
        <v>28</v>
      </c>
      <c r="J51" s="33" t="s">
        <v>28</v>
      </c>
      <c r="K51" s="33" t="s">
        <v>28</v>
      </c>
      <c r="L51" s="23"/>
      <c r="M51" s="23"/>
      <c r="N51" s="23"/>
      <c r="O51" s="33" t="s">
        <v>28</v>
      </c>
      <c r="P51" s="33" t="s">
        <v>28</v>
      </c>
      <c r="Q51" s="33" t="s">
        <v>28</v>
      </c>
      <c r="R51" s="33" t="s">
        <v>28</v>
      </c>
      <c r="S51" s="33" t="s">
        <v>28</v>
      </c>
      <c r="T51" s="33" t="s">
        <v>28</v>
      </c>
      <c r="U51" s="35">
        <f t="shared" si="33"/>
        <v>0</v>
      </c>
      <c r="V51" s="35">
        <f t="shared" si="34"/>
        <v>0</v>
      </c>
      <c r="W51" s="36">
        <f t="shared" si="35"/>
        <v>0</v>
      </c>
      <c r="X51" s="36" t="str">
        <f t="shared" si="36"/>
        <v>#DIV/0!</v>
      </c>
      <c r="Y51" s="36" t="str">
        <f t="shared" si="37"/>
        <v>#DIV/0!</v>
      </c>
      <c r="Z51" s="37" t="str">
        <f t="shared" si="38"/>
        <v>#DIV/0!</v>
      </c>
      <c r="AA51" s="42">
        <v>100.0</v>
      </c>
      <c r="AB51" s="39" t="str">
        <f t="shared" si="39"/>
        <v>#DIV/0!</v>
      </c>
      <c r="AC51" s="39" t="str">
        <f t="shared" si="40"/>
        <v>#DIV/0!</v>
      </c>
      <c r="AD51" s="40" t="str">
        <f t="shared" si="41"/>
        <v>#DIV/0!</v>
      </c>
      <c r="AE51" s="40" t="str">
        <f t="shared" si="42"/>
        <v>#DIV/0!</v>
      </c>
    </row>
    <row r="52" ht="24.0" customHeight="1">
      <c r="A52" s="1"/>
      <c r="B52" s="33">
        <v>42.0</v>
      </c>
      <c r="C52" s="41" t="s">
        <v>66</v>
      </c>
      <c r="D52" s="33">
        <v>3.78</v>
      </c>
      <c r="E52" s="33">
        <v>2.67</v>
      </c>
      <c r="F52" s="33">
        <v>4.25</v>
      </c>
      <c r="G52" s="34">
        <f t="shared" ref="G52:G58" si="46">+(D52*E52)/(F52*(D52+E52))</f>
        <v>0.3681751026</v>
      </c>
      <c r="H52" s="33">
        <v>1.0</v>
      </c>
      <c r="I52" s="33">
        <v>2.0</v>
      </c>
      <c r="J52" s="33">
        <f t="shared" ref="J52:J58" si="47">+H52+I52</f>
        <v>3</v>
      </c>
      <c r="K52" s="33">
        <f t="shared" ref="K52:K58" si="48">POWER(J52,2)</f>
        <v>9</v>
      </c>
      <c r="L52" s="23"/>
      <c r="M52" s="23"/>
      <c r="N52" s="23"/>
      <c r="O52" s="23"/>
      <c r="P52" s="23"/>
      <c r="Q52" s="23"/>
      <c r="R52" s="23"/>
      <c r="S52" s="23"/>
      <c r="T52" s="23"/>
      <c r="U52" s="35">
        <f t="shared" si="33"/>
        <v>0</v>
      </c>
      <c r="V52" s="35">
        <f t="shared" si="34"/>
        <v>0</v>
      </c>
      <c r="W52" s="36">
        <f t="shared" si="35"/>
        <v>0</v>
      </c>
      <c r="X52" s="36" t="str">
        <f t="shared" si="36"/>
        <v>#DIV/0!</v>
      </c>
      <c r="Y52" s="36" t="str">
        <f t="shared" si="37"/>
        <v>#DIV/0!</v>
      </c>
      <c r="Z52" s="37" t="str">
        <f t="shared" si="38"/>
        <v>#DIV/0!</v>
      </c>
      <c r="AA52" s="42">
        <v>300.0</v>
      </c>
      <c r="AB52" s="39" t="str">
        <f t="shared" si="39"/>
        <v>#DIV/0!</v>
      </c>
      <c r="AC52" s="39" t="str">
        <f t="shared" si="40"/>
        <v>#DIV/0!</v>
      </c>
      <c r="AD52" s="40" t="str">
        <f t="shared" si="41"/>
        <v>#DIV/0!</v>
      </c>
      <c r="AE52" s="40" t="str">
        <f t="shared" si="42"/>
        <v>#DIV/0!</v>
      </c>
    </row>
    <row r="53" ht="24.0" customHeight="1">
      <c r="A53" s="1"/>
      <c r="B53" s="31">
        <v>43.0</v>
      </c>
      <c r="C53" s="41" t="s">
        <v>67</v>
      </c>
      <c r="D53" s="33">
        <v>7.77</v>
      </c>
      <c r="E53" s="33">
        <v>4.19</v>
      </c>
      <c r="F53" s="33">
        <v>2.94</v>
      </c>
      <c r="G53" s="21">
        <f t="shared" si="46"/>
        <v>0.9258838987</v>
      </c>
      <c r="H53" s="33">
        <v>1.0</v>
      </c>
      <c r="I53" s="33">
        <v>2.0</v>
      </c>
      <c r="J53" s="33">
        <f t="shared" si="47"/>
        <v>3</v>
      </c>
      <c r="K53" s="33">
        <f t="shared" si="48"/>
        <v>9</v>
      </c>
      <c r="L53" s="23"/>
      <c r="M53" s="23"/>
      <c r="N53" s="23"/>
      <c r="O53" s="23"/>
      <c r="P53" s="23"/>
      <c r="Q53" s="23"/>
      <c r="R53" s="23"/>
      <c r="S53" s="23"/>
      <c r="T53" s="23"/>
      <c r="U53" s="35">
        <f t="shared" si="33"/>
        <v>0</v>
      </c>
      <c r="V53" s="35">
        <f t="shared" si="34"/>
        <v>0</v>
      </c>
      <c r="W53" s="36">
        <f t="shared" si="35"/>
        <v>0</v>
      </c>
      <c r="X53" s="36" t="str">
        <f t="shared" si="36"/>
        <v>#DIV/0!</v>
      </c>
      <c r="Y53" s="36" t="str">
        <f t="shared" si="37"/>
        <v>#DIV/0!</v>
      </c>
      <c r="Z53" s="37" t="str">
        <f t="shared" si="38"/>
        <v>#DIV/0!</v>
      </c>
      <c r="AA53" s="42">
        <v>500.0</v>
      </c>
      <c r="AB53" s="39" t="str">
        <f t="shared" si="39"/>
        <v>#DIV/0!</v>
      </c>
      <c r="AC53" s="39" t="str">
        <f t="shared" si="40"/>
        <v>#DIV/0!</v>
      </c>
      <c r="AD53" s="40" t="str">
        <f t="shared" si="41"/>
        <v>#DIV/0!</v>
      </c>
      <c r="AE53" s="40" t="str">
        <f t="shared" si="42"/>
        <v>#DIV/0!</v>
      </c>
    </row>
    <row r="54" ht="24.0" customHeight="1">
      <c r="A54" s="1"/>
      <c r="B54" s="33">
        <v>44.0</v>
      </c>
      <c r="C54" s="41" t="s">
        <v>68</v>
      </c>
      <c r="D54" s="33">
        <v>2.63</v>
      </c>
      <c r="E54" s="33">
        <v>4.18</v>
      </c>
      <c r="F54" s="33">
        <v>2.94</v>
      </c>
      <c r="G54" s="34">
        <f t="shared" si="46"/>
        <v>0.5490824817</v>
      </c>
      <c r="H54" s="33">
        <v>1.0</v>
      </c>
      <c r="I54" s="33">
        <v>2.0</v>
      </c>
      <c r="J54" s="33">
        <f t="shared" si="47"/>
        <v>3</v>
      </c>
      <c r="K54" s="33">
        <f t="shared" si="48"/>
        <v>9</v>
      </c>
      <c r="L54" s="23"/>
      <c r="M54" s="23"/>
      <c r="N54" s="23"/>
      <c r="O54" s="23"/>
      <c r="P54" s="23"/>
      <c r="Q54" s="23"/>
      <c r="R54" s="23"/>
      <c r="S54" s="23"/>
      <c r="T54" s="23"/>
      <c r="U54" s="35">
        <f>MAX(L55:T55)</f>
        <v>0</v>
      </c>
      <c r="V54" s="35">
        <f>MIN(L55:T55)</f>
        <v>0</v>
      </c>
      <c r="W54" s="36">
        <f t="shared" si="35"/>
        <v>0</v>
      </c>
      <c r="X54" s="36" t="str">
        <f t="shared" si="36"/>
        <v>#DIV/0!</v>
      </c>
      <c r="Y54" s="36" t="str">
        <f t="shared" si="37"/>
        <v>#DIV/0!</v>
      </c>
      <c r="Z54" s="37" t="str">
        <f t="shared" si="38"/>
        <v>#DIV/0!</v>
      </c>
      <c r="AA54" s="42">
        <v>300.0</v>
      </c>
      <c r="AB54" s="39" t="str">
        <f t="shared" si="39"/>
        <v>#DIV/0!</v>
      </c>
      <c r="AC54" s="39" t="str">
        <f t="shared" si="40"/>
        <v>#DIV/0!</v>
      </c>
      <c r="AD54" s="40" t="str">
        <f t="shared" si="41"/>
        <v>#DIV/0!</v>
      </c>
      <c r="AE54" s="40" t="str">
        <f t="shared" si="42"/>
        <v>#DIV/0!</v>
      </c>
    </row>
    <row r="55" ht="24.0" customHeight="1">
      <c r="A55" s="1"/>
      <c r="B55" s="33">
        <v>45.0</v>
      </c>
      <c r="C55" s="41" t="s">
        <v>69</v>
      </c>
      <c r="D55" s="33">
        <v>2.75</v>
      </c>
      <c r="E55" s="33">
        <v>4.21</v>
      </c>
      <c r="F55" s="33">
        <v>2.94</v>
      </c>
      <c r="G55" s="34">
        <f t="shared" si="46"/>
        <v>0.5657938463</v>
      </c>
      <c r="H55" s="33">
        <v>1.0</v>
      </c>
      <c r="I55" s="33">
        <v>2.0</v>
      </c>
      <c r="J55" s="33">
        <f t="shared" si="47"/>
        <v>3</v>
      </c>
      <c r="K55" s="33">
        <f t="shared" si="48"/>
        <v>9</v>
      </c>
      <c r="L55" s="23"/>
      <c r="M55" s="23"/>
      <c r="N55" s="23"/>
      <c r="O55" s="23"/>
      <c r="P55" s="23"/>
      <c r="Q55" s="23"/>
      <c r="R55" s="23"/>
      <c r="S55" s="23"/>
      <c r="T55" s="23"/>
      <c r="U55" s="35">
        <f>MAX(L54:T54)</f>
        <v>0</v>
      </c>
      <c r="V55" s="35">
        <f>MIN(L54:T54)</f>
        <v>0</v>
      </c>
      <c r="W55" s="36">
        <f t="shared" si="35"/>
        <v>0</v>
      </c>
      <c r="X55" s="36" t="str">
        <f t="shared" si="36"/>
        <v>#DIV/0!</v>
      </c>
      <c r="Y55" s="36" t="str">
        <f t="shared" si="37"/>
        <v>#DIV/0!</v>
      </c>
      <c r="Z55" s="37" t="str">
        <f t="shared" si="38"/>
        <v>#DIV/0!</v>
      </c>
      <c r="AA55" s="42">
        <v>50.0</v>
      </c>
      <c r="AB55" s="39" t="str">
        <f t="shared" si="39"/>
        <v>#DIV/0!</v>
      </c>
      <c r="AC55" s="39" t="str">
        <f t="shared" si="40"/>
        <v>#DIV/0!</v>
      </c>
      <c r="AD55" s="40" t="str">
        <f t="shared" si="41"/>
        <v>#DIV/0!</v>
      </c>
      <c r="AE55" s="40" t="str">
        <f t="shared" si="42"/>
        <v>#DIV/0!</v>
      </c>
    </row>
    <row r="56" ht="24.0" customHeight="1">
      <c r="A56" s="1"/>
      <c r="B56" s="31">
        <v>46.0</v>
      </c>
      <c r="C56" s="41" t="s">
        <v>70</v>
      </c>
      <c r="D56" s="33">
        <v>7.09</v>
      </c>
      <c r="E56" s="33">
        <v>7.72</v>
      </c>
      <c r="F56" s="33">
        <v>3.0</v>
      </c>
      <c r="G56" s="43">
        <f t="shared" si="46"/>
        <v>1.231933378</v>
      </c>
      <c r="H56" s="33">
        <v>1.0</v>
      </c>
      <c r="I56" s="33">
        <v>2.0</v>
      </c>
      <c r="J56" s="33">
        <f t="shared" si="47"/>
        <v>3</v>
      </c>
      <c r="K56" s="33">
        <f t="shared" si="48"/>
        <v>9</v>
      </c>
      <c r="L56" s="23"/>
      <c r="M56" s="23"/>
      <c r="N56" s="23"/>
      <c r="O56" s="23"/>
      <c r="P56" s="23"/>
      <c r="Q56" s="23"/>
      <c r="R56" s="23"/>
      <c r="S56" s="23"/>
      <c r="T56" s="23"/>
      <c r="U56" s="35">
        <f t="shared" ref="U56:U58" si="49">MAX(L56:T56)</f>
        <v>0</v>
      </c>
      <c r="V56" s="35">
        <f t="shared" ref="V56:V58" si="50">MIN(L56:T56)</f>
        <v>0</v>
      </c>
      <c r="W56" s="36">
        <f t="shared" si="35"/>
        <v>0</v>
      </c>
      <c r="X56" s="36" t="str">
        <f t="shared" si="36"/>
        <v>#DIV/0!</v>
      </c>
      <c r="Y56" s="36" t="str">
        <f t="shared" si="37"/>
        <v>#DIV/0!</v>
      </c>
      <c r="Z56" s="37" t="str">
        <f t="shared" si="38"/>
        <v>#DIV/0!</v>
      </c>
      <c r="AA56" s="42">
        <v>300.0</v>
      </c>
      <c r="AB56" s="39" t="str">
        <f t="shared" si="39"/>
        <v>#DIV/0!</v>
      </c>
      <c r="AC56" s="39" t="str">
        <f t="shared" si="40"/>
        <v>#DIV/0!</v>
      </c>
      <c r="AD56" s="40" t="str">
        <f t="shared" si="41"/>
        <v>#DIV/0!</v>
      </c>
      <c r="AE56" s="40" t="str">
        <f t="shared" si="42"/>
        <v>#DIV/0!</v>
      </c>
    </row>
    <row r="57" ht="26.25" customHeight="1">
      <c r="A57" s="1"/>
      <c r="B57" s="33">
        <v>47.0</v>
      </c>
      <c r="C57" s="41" t="s">
        <v>71</v>
      </c>
      <c r="D57" s="33">
        <v>12.0</v>
      </c>
      <c r="E57" s="33">
        <v>6.0</v>
      </c>
      <c r="F57" s="33">
        <v>4.0</v>
      </c>
      <c r="G57" s="43">
        <f t="shared" si="46"/>
        <v>1</v>
      </c>
      <c r="H57" s="33">
        <v>1.0</v>
      </c>
      <c r="I57" s="33">
        <v>2.0</v>
      </c>
      <c r="J57" s="33">
        <f t="shared" si="47"/>
        <v>3</v>
      </c>
      <c r="K57" s="33">
        <f t="shared" si="48"/>
        <v>9</v>
      </c>
      <c r="L57" s="23"/>
      <c r="M57" s="23"/>
      <c r="N57" s="23"/>
      <c r="O57" s="23"/>
      <c r="P57" s="23"/>
      <c r="Q57" s="23"/>
      <c r="R57" s="23"/>
      <c r="S57" s="23"/>
      <c r="T57" s="23"/>
      <c r="U57" s="35">
        <f t="shared" si="49"/>
        <v>0</v>
      </c>
      <c r="V57" s="35">
        <f t="shared" si="50"/>
        <v>0</v>
      </c>
      <c r="W57" s="36">
        <f t="shared" si="35"/>
        <v>0</v>
      </c>
      <c r="X57" s="36" t="str">
        <f t="shared" si="36"/>
        <v>#DIV/0!</v>
      </c>
      <c r="Y57" s="36" t="str">
        <f t="shared" si="37"/>
        <v>#DIV/0!</v>
      </c>
      <c r="Z57" s="37" t="str">
        <f t="shared" si="38"/>
        <v>#DIV/0!</v>
      </c>
      <c r="AA57" s="42">
        <v>300.0</v>
      </c>
      <c r="AB57" s="39" t="str">
        <f t="shared" si="39"/>
        <v>#DIV/0!</v>
      </c>
      <c r="AC57" s="39" t="str">
        <f t="shared" si="40"/>
        <v>#DIV/0!</v>
      </c>
      <c r="AD57" s="40" t="str">
        <f t="shared" si="41"/>
        <v>#DIV/0!</v>
      </c>
      <c r="AE57" s="40" t="str">
        <f t="shared" si="42"/>
        <v>#DIV/0!</v>
      </c>
    </row>
    <row r="58" ht="27.75" customHeight="1">
      <c r="A58" s="1"/>
      <c r="B58" s="31">
        <v>48.0</v>
      </c>
      <c r="C58" s="41" t="s">
        <v>72</v>
      </c>
      <c r="D58" s="33">
        <v>4.0</v>
      </c>
      <c r="E58" s="33">
        <v>2.0</v>
      </c>
      <c r="F58" s="33">
        <v>3.0</v>
      </c>
      <c r="G58" s="43">
        <f t="shared" si="46"/>
        <v>0.4444444444</v>
      </c>
      <c r="H58" s="33">
        <v>1.0</v>
      </c>
      <c r="I58" s="33">
        <v>2.0</v>
      </c>
      <c r="J58" s="33">
        <f t="shared" si="47"/>
        <v>3</v>
      </c>
      <c r="K58" s="33">
        <f t="shared" si="48"/>
        <v>9</v>
      </c>
      <c r="L58" s="23"/>
      <c r="M58" s="23"/>
      <c r="N58" s="23"/>
      <c r="O58" s="23"/>
      <c r="P58" s="23"/>
      <c r="Q58" s="23"/>
      <c r="R58" s="23"/>
      <c r="S58" s="23"/>
      <c r="T58" s="23"/>
      <c r="U58" s="35">
        <f t="shared" si="49"/>
        <v>0</v>
      </c>
      <c r="V58" s="35">
        <f t="shared" si="50"/>
        <v>0</v>
      </c>
      <c r="W58" s="36">
        <f t="shared" si="35"/>
        <v>0</v>
      </c>
      <c r="X58" s="36" t="str">
        <f t="shared" si="36"/>
        <v>#DIV/0!</v>
      </c>
      <c r="Y58" s="36" t="str">
        <f t="shared" si="37"/>
        <v>#DIV/0!</v>
      </c>
      <c r="Z58" s="37" t="str">
        <f t="shared" si="38"/>
        <v>#DIV/0!</v>
      </c>
      <c r="AA58" s="42">
        <v>100.0</v>
      </c>
      <c r="AB58" s="39" t="str">
        <f t="shared" si="39"/>
        <v>#DIV/0!</v>
      </c>
      <c r="AC58" s="39" t="str">
        <f t="shared" si="40"/>
        <v>#DIV/0!</v>
      </c>
      <c r="AD58" s="40" t="str">
        <f t="shared" si="41"/>
        <v>#DIV/0!</v>
      </c>
      <c r="AE58" s="40" t="str">
        <f t="shared" si="42"/>
        <v>#DIV/0!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W59" s="1"/>
      <c r="X59" s="1"/>
      <c r="Y59" s="1"/>
      <c r="Z59" s="1"/>
      <c r="AA59" s="1"/>
      <c r="AB59" s="1"/>
      <c r="AC59" s="1"/>
      <c r="AD59" s="46" t="str">
        <f>+AD5+AD9+AD10+AD11+AD12+AD13+AD14+AD15+AD16+AD18+AD19+AD20+AD21+AD22+AD23+AD24+AD25+AD26+AD27+AD28+AD29+AD30+#REF!+#REF!+AD32+AD35+AD36+AD37+AD38+AD39+AD40+AD41+AD42+AD43+AD44+#REF!+AD45+AD46+AD47+AD48+AD49+AD50+AD51+AD52+AD53+AD54+AD55+AD56+#REF!+#REF!+AD57+AD58</f>
        <v>#DIV/0!</v>
      </c>
      <c r="AE59" s="47" t="str">
        <f>+AE5+AE9+AE10+AE11+AE12+AE13+AE14+AE15+AE16+AE18+AE19+AE20+AE21+AE22+AE23+AE24+AE25+AE26+AE27+AE28+AE29+AE30+AE31+#REF!+#REF!+#REF!+AE32+AE35+AE36+AE37+AE38+AE39+AE40+AE41+AE42+AE43+AE44+#REF!+AE45+AE46+AE47+AE48+AE49+AE50+AE51+AE52+AE53+AE54+AE55+AE56+#REF!+#REF!+AE57+AE58</f>
        <v>#DIV/0!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"/>
      <c r="D62" s="48" t="s">
        <v>73</v>
      </c>
      <c r="E62" s="48" t="s">
        <v>74</v>
      </c>
      <c r="F62" s="48" t="s">
        <v>75</v>
      </c>
      <c r="G62" s="48" t="s">
        <v>76</v>
      </c>
      <c r="H62" s="48" t="s">
        <v>77</v>
      </c>
      <c r="I62" s="1"/>
      <c r="J62" s="48" t="s">
        <v>78</v>
      </c>
      <c r="K62" s="49"/>
      <c r="L62" s="49"/>
      <c r="M62" s="1"/>
      <c r="N62" s="1"/>
      <c r="O62" s="1"/>
      <c r="P62" s="1"/>
      <c r="Q62" s="1"/>
      <c r="R62" s="1"/>
      <c r="S62" s="1"/>
      <c r="T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/>
      <c r="D63" s="48" t="s">
        <v>33</v>
      </c>
      <c r="E63" s="49"/>
      <c r="F63" s="49"/>
      <c r="G63" s="49"/>
      <c r="H63" s="49"/>
      <c r="I63" s="1"/>
      <c r="J63" s="48" t="s">
        <v>79</v>
      </c>
      <c r="K63" s="49"/>
      <c r="L63" s="49"/>
      <c r="M63" s="1"/>
      <c r="N63" s="1"/>
      <c r="O63" s="1"/>
      <c r="P63" s="1"/>
      <c r="Q63" s="1"/>
      <c r="R63" s="1"/>
      <c r="S63" s="1"/>
      <c r="T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D64" s="48" t="s">
        <v>80</v>
      </c>
      <c r="E64" s="49"/>
      <c r="F64" s="49"/>
      <c r="G64" s="49"/>
      <c r="H64" s="49"/>
      <c r="I64" s="1"/>
      <c r="J64" s="48" t="s">
        <v>81</v>
      </c>
      <c r="K64" s="49"/>
      <c r="L64" s="50"/>
      <c r="M64" s="1"/>
      <c r="N64" s="1"/>
      <c r="O64" s="1"/>
      <c r="P64" s="1"/>
      <c r="Q64" s="1"/>
      <c r="R64" s="1"/>
      <c r="S64" s="1"/>
      <c r="T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D65" s="48" t="s">
        <v>82</v>
      </c>
      <c r="E65" s="49"/>
      <c r="F65" s="49"/>
      <c r="G65" s="49"/>
      <c r="H65" s="49"/>
      <c r="I65" s="1"/>
      <c r="J65" s="48" t="s">
        <v>83</v>
      </c>
      <c r="K65" s="49"/>
      <c r="L65" s="49"/>
      <c r="M65" s="1"/>
      <c r="N65" s="1"/>
      <c r="O65" s="1"/>
      <c r="P65" s="1"/>
      <c r="Q65" s="1"/>
      <c r="R65" s="1"/>
      <c r="S65" s="1"/>
      <c r="T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D66" s="48" t="s">
        <v>84</v>
      </c>
      <c r="E66" s="49"/>
      <c r="F66" s="49"/>
      <c r="G66" s="49"/>
      <c r="H66" s="49"/>
      <c r="I66" s="1"/>
      <c r="J66" s="48" t="s">
        <v>85</v>
      </c>
      <c r="K66" s="49"/>
      <c r="L66" s="49"/>
      <c r="M66" s="1"/>
      <c r="N66" s="1"/>
      <c r="O66" s="1"/>
      <c r="P66" s="1"/>
      <c r="Q66" s="1"/>
      <c r="R66" s="1"/>
      <c r="S66" s="1"/>
      <c r="T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D67" s="48" t="s">
        <v>86</v>
      </c>
      <c r="E67" s="49"/>
      <c r="F67" s="49"/>
      <c r="G67" s="49"/>
      <c r="H67" s="4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75">
    <mergeCell ref="Y16:Y17"/>
    <mergeCell ref="Z16:Z17"/>
    <mergeCell ref="G16:G17"/>
    <mergeCell ref="H16:H17"/>
    <mergeCell ref="I16:I17"/>
    <mergeCell ref="J16:J17"/>
    <mergeCell ref="K16:K17"/>
    <mergeCell ref="W16:W17"/>
    <mergeCell ref="X16:X17"/>
    <mergeCell ref="B33:B34"/>
    <mergeCell ref="C33:C34"/>
    <mergeCell ref="G33:G34"/>
    <mergeCell ref="H33:H34"/>
    <mergeCell ref="I33:I34"/>
    <mergeCell ref="J33:J34"/>
    <mergeCell ref="K33:K34"/>
    <mergeCell ref="AB33:AB34"/>
    <mergeCell ref="AC33:AC34"/>
    <mergeCell ref="AD33:AD34"/>
    <mergeCell ref="AE33:AE34"/>
    <mergeCell ref="D33:F33"/>
    <mergeCell ref="L33:T33"/>
    <mergeCell ref="U33:U34"/>
    <mergeCell ref="V33:V34"/>
    <mergeCell ref="W33:Y34"/>
    <mergeCell ref="Z33:Z34"/>
    <mergeCell ref="AA33:AA34"/>
    <mergeCell ref="C1:T1"/>
    <mergeCell ref="B3:B4"/>
    <mergeCell ref="C3:C4"/>
    <mergeCell ref="D3:F3"/>
    <mergeCell ref="G3:G4"/>
    <mergeCell ref="H3:H4"/>
    <mergeCell ref="I3:I4"/>
    <mergeCell ref="AC3:AC4"/>
    <mergeCell ref="AD3:AD4"/>
    <mergeCell ref="AE3:AE4"/>
    <mergeCell ref="L3:T3"/>
    <mergeCell ref="U3:U4"/>
    <mergeCell ref="V3:V4"/>
    <mergeCell ref="W3:Y4"/>
    <mergeCell ref="Z3:Z4"/>
    <mergeCell ref="AA3:AA4"/>
    <mergeCell ref="AB3:AB4"/>
    <mergeCell ref="J3:J4"/>
    <mergeCell ref="K3:K4"/>
    <mergeCell ref="B5:B8"/>
    <mergeCell ref="C5:C8"/>
    <mergeCell ref="D5:D8"/>
    <mergeCell ref="E5:E8"/>
    <mergeCell ref="F5:F8"/>
    <mergeCell ref="K5:K8"/>
    <mergeCell ref="I5:I8"/>
    <mergeCell ref="J5:J8"/>
    <mergeCell ref="U5:U7"/>
    <mergeCell ref="V5:V7"/>
    <mergeCell ref="W5:W8"/>
    <mergeCell ref="X5:X8"/>
    <mergeCell ref="Y5:Y8"/>
    <mergeCell ref="G5:G8"/>
    <mergeCell ref="H5:H8"/>
    <mergeCell ref="B16:B17"/>
    <mergeCell ref="C16:C17"/>
    <mergeCell ref="D16:D17"/>
    <mergeCell ref="E16:E17"/>
    <mergeCell ref="F16:F17"/>
    <mergeCell ref="AB16:AB17"/>
    <mergeCell ref="AC16:AC17"/>
    <mergeCell ref="Z5:Z8"/>
    <mergeCell ref="AA5:AA8"/>
    <mergeCell ref="AB5:AB8"/>
    <mergeCell ref="AC5:AC8"/>
    <mergeCell ref="AD5:AD7"/>
    <mergeCell ref="AE5:AE7"/>
    <mergeCell ref="AA16:AA17"/>
  </mergeCells>
  <conditionalFormatting sqref="AB5:AE5 AB9:AE32 AB35:AE35 AB36:AC58 AD36:AE59">
    <cfRule type="cellIs" dxfId="0" priority="1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39.43"/>
    <col customWidth="1" min="4" max="4" width="8.71"/>
    <col customWidth="1" min="5" max="5" width="8.29"/>
    <col customWidth="1" min="6" max="6" width="6.86"/>
    <col customWidth="1" min="7" max="7" width="7.57"/>
    <col customWidth="1" min="8" max="8" width="6.86"/>
    <col customWidth="1" min="9" max="9" width="9.43"/>
    <col customWidth="1" min="10" max="10" width="7.71"/>
    <col customWidth="1" min="11" max="11" width="8.14"/>
    <col customWidth="1" min="12" max="20" width="5.71"/>
    <col customWidth="1" hidden="1" min="21" max="22" width="8.0"/>
    <col customWidth="1" min="23" max="23" width="6.29"/>
    <col customWidth="1" min="24" max="25" width="4.71"/>
    <col customWidth="1" min="26" max="26" width="8.86"/>
    <col customWidth="1" min="27" max="27" width="9.29"/>
    <col customWidth="1" min="28" max="28" width="15.14"/>
    <col customWidth="1" min="29" max="29" width="14.43"/>
    <col customWidth="1" min="30" max="30" width="11.43"/>
    <col customWidth="1" min="31" max="31" width="12.43"/>
  </cols>
  <sheetData>
    <row r="1">
      <c r="A1" s="1"/>
      <c r="B1" s="1"/>
      <c r="C1" s="2" t="s">
        <v>0</v>
      </c>
      <c r="W1" s="1"/>
      <c r="X1" s="1"/>
      <c r="Y1" s="1"/>
      <c r="Z1" s="1"/>
      <c r="AA1" s="1"/>
      <c r="AB1" s="1"/>
      <c r="AC1" s="1"/>
      <c r="AD1" s="1"/>
      <c r="AE1" s="1"/>
    </row>
    <row r="2" ht="15.0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1"/>
      <c r="AE2" s="5" t="s">
        <v>2</v>
      </c>
    </row>
    <row r="3" ht="35.25" customHeight="1">
      <c r="A3" s="1"/>
      <c r="B3" s="6" t="s">
        <v>3</v>
      </c>
      <c r="C3" s="6" t="s">
        <v>4</v>
      </c>
      <c r="D3" s="7" t="s">
        <v>5</v>
      </c>
      <c r="E3" s="8"/>
      <c r="F3" s="9"/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8"/>
      <c r="N3" s="8"/>
      <c r="O3" s="8"/>
      <c r="P3" s="8"/>
      <c r="Q3" s="8"/>
      <c r="R3" s="8"/>
      <c r="S3" s="8"/>
      <c r="T3" s="10"/>
      <c r="U3" s="11" t="s">
        <v>12</v>
      </c>
      <c r="V3" s="11" t="s">
        <v>13</v>
      </c>
      <c r="W3" s="12" t="s">
        <v>14</v>
      </c>
      <c r="X3" s="13"/>
      <c r="Y3" s="14"/>
      <c r="Z3" s="6" t="s">
        <v>15</v>
      </c>
      <c r="AA3" s="6" t="s">
        <v>16</v>
      </c>
      <c r="AB3" s="6" t="s">
        <v>17</v>
      </c>
      <c r="AC3" s="6" t="s">
        <v>18</v>
      </c>
      <c r="AD3" s="6" t="s">
        <v>19</v>
      </c>
      <c r="AE3" s="6" t="s">
        <v>20</v>
      </c>
    </row>
    <row r="4" ht="33.0" customHeight="1">
      <c r="A4" s="1"/>
      <c r="B4" s="15"/>
      <c r="C4" s="15"/>
      <c r="D4" s="16" t="s">
        <v>21</v>
      </c>
      <c r="E4" s="16" t="s">
        <v>22</v>
      </c>
      <c r="F4" s="16" t="s">
        <v>23</v>
      </c>
      <c r="G4" s="15"/>
      <c r="H4" s="15"/>
      <c r="I4" s="15"/>
      <c r="J4" s="15"/>
      <c r="K4" s="15"/>
      <c r="L4" s="17">
        <v>1.0</v>
      </c>
      <c r="M4" s="17">
        <v>2.0</v>
      </c>
      <c r="N4" s="17">
        <v>3.0</v>
      </c>
      <c r="O4" s="17">
        <v>4.0</v>
      </c>
      <c r="P4" s="17">
        <v>5.0</v>
      </c>
      <c r="Q4" s="17">
        <v>6.0</v>
      </c>
      <c r="R4" s="17">
        <v>7.0</v>
      </c>
      <c r="S4" s="17">
        <v>8.0</v>
      </c>
      <c r="T4" s="17">
        <v>9.0</v>
      </c>
      <c r="U4" s="15"/>
      <c r="V4" s="15"/>
      <c r="W4" s="18"/>
      <c r="X4" s="19"/>
      <c r="Y4" s="20"/>
      <c r="Z4" s="15"/>
      <c r="AA4" s="15"/>
      <c r="AB4" s="15"/>
      <c r="AC4" s="15"/>
      <c r="AD4" s="15"/>
      <c r="AE4" s="15"/>
    </row>
    <row r="5" ht="24.0" customHeight="1">
      <c r="A5" s="1"/>
      <c r="B5" s="21">
        <v>1.0</v>
      </c>
      <c r="C5" s="22" t="s">
        <v>24</v>
      </c>
      <c r="D5" s="21">
        <v>58.0</v>
      </c>
      <c r="E5" s="21">
        <v>70.0</v>
      </c>
      <c r="F5" s="21">
        <v>4.25</v>
      </c>
      <c r="G5" s="21">
        <f>+(D5*E5)/(F5*(D5+E5))</f>
        <v>7.463235294</v>
      </c>
      <c r="H5" s="21">
        <v>4.0</v>
      </c>
      <c r="I5" s="21">
        <v>2.0</v>
      </c>
      <c r="J5" s="21">
        <f>+H5+I5</f>
        <v>6</v>
      </c>
      <c r="K5" s="21">
        <f>POWER(J5,2)</f>
        <v>36</v>
      </c>
      <c r="L5" s="23">
        <v>320.0</v>
      </c>
      <c r="M5" s="23">
        <v>334.0</v>
      </c>
      <c r="N5" s="23">
        <v>426.0</v>
      </c>
      <c r="O5" s="23">
        <v>433.0</v>
      </c>
      <c r="P5" s="23">
        <v>463.0</v>
      </c>
      <c r="Q5" s="23">
        <v>422.0</v>
      </c>
      <c r="R5" s="23">
        <v>415.0</v>
      </c>
      <c r="S5" s="23">
        <v>440.0</v>
      </c>
      <c r="T5" s="23">
        <v>227.0</v>
      </c>
      <c r="U5" s="24">
        <f>MAX(L5:T7)</f>
        <v>463</v>
      </c>
      <c r="V5" s="24">
        <f>MIN(L5:T7)</f>
        <v>227</v>
      </c>
      <c r="W5" s="21">
        <f>MIN(L5:T8)</f>
        <v>227</v>
      </c>
      <c r="X5" s="21" t="str">
        <f>IF(W5&gt;Y5,"&gt;","&lt;")</f>
        <v>&gt;</v>
      </c>
      <c r="Y5" s="21">
        <f>+Z5/2</f>
        <v>181.1388889</v>
      </c>
      <c r="Z5" s="25">
        <f>AVERAGE(L5:T8)</f>
        <v>362.2777778</v>
      </c>
      <c r="AA5" s="21">
        <v>500.0</v>
      </c>
      <c r="AB5" s="26" t="str">
        <f>IF(W5&gt;Y5,"SI","NO")</f>
        <v>SI</v>
      </c>
      <c r="AC5" s="26" t="str">
        <f>IF(Z5&gt;AA5,"SI","NO")</f>
        <v>NO</v>
      </c>
      <c r="AD5" s="27" t="str">
        <f>IF(AB5=AE$2,"1","0")</f>
        <v>0</v>
      </c>
      <c r="AE5" s="27" t="str">
        <f>IF(AC5=AE$2,"1","0")</f>
        <v>1</v>
      </c>
    </row>
    <row r="6" ht="24.0" customHeight="1">
      <c r="A6" s="1"/>
      <c r="B6" s="28"/>
      <c r="C6" s="28"/>
      <c r="D6" s="28"/>
      <c r="E6" s="28"/>
      <c r="F6" s="28"/>
      <c r="G6" s="28"/>
      <c r="H6" s="28"/>
      <c r="I6" s="28"/>
      <c r="J6" s="28"/>
      <c r="K6" s="28"/>
      <c r="L6" s="23">
        <v>346.0</v>
      </c>
      <c r="M6" s="23">
        <v>279.0</v>
      </c>
      <c r="N6" s="23">
        <v>283.0</v>
      </c>
      <c r="O6" s="23">
        <v>356.0</v>
      </c>
      <c r="P6" s="23">
        <v>372.0</v>
      </c>
      <c r="Q6" s="23">
        <v>339.0</v>
      </c>
      <c r="R6" s="23">
        <v>340.0</v>
      </c>
      <c r="S6" s="23">
        <v>418.0</v>
      </c>
      <c r="T6" s="23">
        <v>273.0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ht="24.0" customHeight="1">
      <c r="A7" s="1"/>
      <c r="B7" s="28"/>
      <c r="C7" s="28"/>
      <c r="D7" s="28"/>
      <c r="E7" s="28"/>
      <c r="F7" s="28"/>
      <c r="G7" s="28"/>
      <c r="H7" s="28"/>
      <c r="I7" s="28"/>
      <c r="J7" s="28"/>
      <c r="K7" s="28"/>
      <c r="L7" s="23">
        <v>243.0</v>
      </c>
      <c r="M7" s="23">
        <v>240.0</v>
      </c>
      <c r="N7" s="23">
        <v>405.0</v>
      </c>
      <c r="O7" s="23">
        <v>393.0</v>
      </c>
      <c r="P7" s="23">
        <v>385.0</v>
      </c>
      <c r="Q7" s="23">
        <v>414.0</v>
      </c>
      <c r="R7" s="23">
        <v>439.0</v>
      </c>
      <c r="S7" s="23">
        <v>385.0</v>
      </c>
      <c r="T7" s="23">
        <v>358.0</v>
      </c>
      <c r="U7" s="15"/>
      <c r="V7" s="15"/>
      <c r="W7" s="28"/>
      <c r="X7" s="28"/>
      <c r="Y7" s="28"/>
      <c r="Z7" s="28"/>
      <c r="AA7" s="28"/>
      <c r="AB7" s="28"/>
      <c r="AC7" s="28"/>
      <c r="AD7" s="15"/>
      <c r="AE7" s="15"/>
    </row>
    <row r="8" ht="24.0" customHeight="1">
      <c r="A8" s="1"/>
      <c r="B8" s="15"/>
      <c r="C8" s="15"/>
      <c r="D8" s="15"/>
      <c r="E8" s="15"/>
      <c r="F8" s="15"/>
      <c r="G8" s="15"/>
      <c r="H8" s="15"/>
      <c r="I8" s="15"/>
      <c r="J8" s="15"/>
      <c r="K8" s="15"/>
      <c r="L8" s="23">
        <v>355.0</v>
      </c>
      <c r="M8" s="23">
        <v>398.0</v>
      </c>
      <c r="N8" s="23">
        <v>390.0</v>
      </c>
      <c r="O8" s="23">
        <v>411.0</v>
      </c>
      <c r="P8" s="23">
        <v>371.0</v>
      </c>
      <c r="Q8" s="23">
        <v>343.0</v>
      </c>
      <c r="R8" s="23">
        <v>331.0</v>
      </c>
      <c r="S8" s="23">
        <v>328.0</v>
      </c>
      <c r="T8" s="23">
        <v>367.0</v>
      </c>
      <c r="U8" s="29"/>
      <c r="V8" s="29"/>
      <c r="W8" s="15"/>
      <c r="X8" s="15"/>
      <c r="Y8" s="15"/>
      <c r="Z8" s="15"/>
      <c r="AA8" s="15"/>
      <c r="AB8" s="15"/>
      <c r="AC8" s="15"/>
      <c r="AD8" s="30"/>
      <c r="AE8" s="30"/>
    </row>
    <row r="9" ht="24.0" customHeight="1">
      <c r="A9" s="1"/>
      <c r="B9" s="31">
        <v>2.0</v>
      </c>
      <c r="C9" s="32" t="s">
        <v>25</v>
      </c>
      <c r="D9" s="33">
        <v>5.05</v>
      </c>
      <c r="E9" s="33">
        <v>38.25</v>
      </c>
      <c r="F9" s="33">
        <v>4.25</v>
      </c>
      <c r="G9" s="34">
        <f t="shared" ref="G9:G10" si="1">+(D9*E9)/(F9*(D9+E9))</f>
        <v>1.04965358</v>
      </c>
      <c r="H9" s="33">
        <v>1.0</v>
      </c>
      <c r="I9" s="33">
        <v>2.0</v>
      </c>
      <c r="J9" s="33">
        <f t="shared" ref="J9:J10" si="2">+H9+I9</f>
        <v>3</v>
      </c>
      <c r="K9" s="33">
        <f t="shared" ref="K9:K10" si="3">POWER(J9,2)</f>
        <v>9</v>
      </c>
      <c r="L9" s="23">
        <v>478.0</v>
      </c>
      <c r="M9" s="23">
        <v>459.0</v>
      </c>
      <c r="N9" s="23">
        <v>497.0</v>
      </c>
      <c r="O9" s="23">
        <v>516.0</v>
      </c>
      <c r="P9" s="23">
        <v>493.0</v>
      </c>
      <c r="Q9" s="23">
        <v>526.0</v>
      </c>
      <c r="R9" s="23">
        <v>519.0</v>
      </c>
      <c r="S9" s="23">
        <v>515.0</v>
      </c>
      <c r="T9" s="23">
        <v>503.0</v>
      </c>
      <c r="U9" s="35">
        <f t="shared" ref="U9:U16" si="4">MAX(L9:T9)</f>
        <v>526</v>
      </c>
      <c r="V9" s="35">
        <f t="shared" ref="V9:V16" si="5">MIN(L9:T9)</f>
        <v>459</v>
      </c>
      <c r="W9" s="36">
        <f t="shared" ref="W9:W15" si="6">MIN(L9:T9)</f>
        <v>459</v>
      </c>
      <c r="X9" s="36" t="str">
        <f t="shared" ref="X9:X16" si="7">IF(W9&gt;Y9,"&gt;","&lt;")</f>
        <v>&gt;</v>
      </c>
      <c r="Y9" s="36">
        <f t="shared" ref="Y9:Y16" si="8">+Z9/2</f>
        <v>250.3333333</v>
      </c>
      <c r="Z9" s="37">
        <f t="shared" ref="Z9:Z15" si="9">AVERAGE(L9:T9)</f>
        <v>500.6666667</v>
      </c>
      <c r="AA9" s="38">
        <v>500.0</v>
      </c>
      <c r="AB9" s="39" t="str">
        <f t="shared" ref="AB9:AB16" si="10">IF(W9&gt;Y9,"SI","NO")</f>
        <v>SI</v>
      </c>
      <c r="AC9" s="39" t="str">
        <f t="shared" ref="AC9:AC16" si="11">IF(Z9&gt;AA9,"SI","NO")</f>
        <v>SI</v>
      </c>
      <c r="AD9" s="40" t="str">
        <f t="shared" ref="AD9:AD16" si="12">IF(AB9=AE$2,"1","0")</f>
        <v>0</v>
      </c>
      <c r="AE9" s="40" t="str">
        <f t="shared" ref="AE9:AE16" si="13">IF(AC9=AE$2,"1","0")</f>
        <v>0</v>
      </c>
    </row>
    <row r="10" ht="24.0" customHeight="1">
      <c r="A10" s="1"/>
      <c r="B10" s="33">
        <v>3.0</v>
      </c>
      <c r="C10" s="41" t="s">
        <v>26</v>
      </c>
      <c r="D10" s="33">
        <v>7.22</v>
      </c>
      <c r="E10" s="33">
        <v>2.39</v>
      </c>
      <c r="F10" s="33">
        <v>4.25</v>
      </c>
      <c r="G10" s="34">
        <f t="shared" si="1"/>
        <v>0.4224961743</v>
      </c>
      <c r="H10" s="33">
        <v>1.0</v>
      </c>
      <c r="I10" s="33">
        <v>2.0</v>
      </c>
      <c r="J10" s="33">
        <f t="shared" si="2"/>
        <v>3</v>
      </c>
      <c r="K10" s="33">
        <f t="shared" si="3"/>
        <v>9</v>
      </c>
      <c r="L10" s="23">
        <v>530.0</v>
      </c>
      <c r="M10" s="23">
        <v>485.0</v>
      </c>
      <c r="N10" s="23">
        <v>483.0</v>
      </c>
      <c r="O10" s="23">
        <v>517.0</v>
      </c>
      <c r="P10" s="23">
        <v>507.0</v>
      </c>
      <c r="Q10" s="23">
        <v>486.0</v>
      </c>
      <c r="R10" s="23">
        <v>530.0</v>
      </c>
      <c r="S10" s="23">
        <v>597.0</v>
      </c>
      <c r="T10" s="23">
        <v>521.0</v>
      </c>
      <c r="U10" s="35">
        <f t="shared" si="4"/>
        <v>597</v>
      </c>
      <c r="V10" s="35">
        <f t="shared" si="5"/>
        <v>483</v>
      </c>
      <c r="W10" s="36">
        <f t="shared" si="6"/>
        <v>483</v>
      </c>
      <c r="X10" s="36" t="str">
        <f t="shared" si="7"/>
        <v>&gt;</v>
      </c>
      <c r="Y10" s="36">
        <f t="shared" si="8"/>
        <v>258.6666667</v>
      </c>
      <c r="Z10" s="37">
        <f t="shared" si="9"/>
        <v>517.3333333</v>
      </c>
      <c r="AA10" s="42">
        <v>500.0</v>
      </c>
      <c r="AB10" s="39" t="str">
        <f t="shared" si="10"/>
        <v>SI</v>
      </c>
      <c r="AC10" s="39" t="str">
        <f t="shared" si="11"/>
        <v>SI</v>
      </c>
      <c r="AD10" s="40" t="str">
        <f t="shared" si="12"/>
        <v>0</v>
      </c>
      <c r="AE10" s="40" t="str">
        <f t="shared" si="13"/>
        <v>0</v>
      </c>
    </row>
    <row r="11" ht="24.0" customHeight="1">
      <c r="A11" s="1"/>
      <c r="B11" s="33">
        <v>4.0</v>
      </c>
      <c r="C11" s="41" t="s">
        <v>27</v>
      </c>
      <c r="D11" s="33" t="s">
        <v>28</v>
      </c>
      <c r="E11" s="33" t="s">
        <v>28</v>
      </c>
      <c r="F11" s="33" t="s">
        <v>28</v>
      </c>
      <c r="G11" s="33" t="s">
        <v>28</v>
      </c>
      <c r="H11" s="33" t="s">
        <v>28</v>
      </c>
      <c r="I11" s="33" t="s">
        <v>28</v>
      </c>
      <c r="J11" s="33" t="s">
        <v>28</v>
      </c>
      <c r="K11" s="33" t="s">
        <v>28</v>
      </c>
      <c r="L11" s="23">
        <v>116.0</v>
      </c>
      <c r="M11" s="23">
        <v>108.0</v>
      </c>
      <c r="N11" s="23">
        <v>147.0</v>
      </c>
      <c r="O11" s="33" t="s">
        <v>28</v>
      </c>
      <c r="P11" s="33" t="s">
        <v>28</v>
      </c>
      <c r="Q11" s="33" t="s">
        <v>28</v>
      </c>
      <c r="R11" s="33" t="s">
        <v>28</v>
      </c>
      <c r="S11" s="33" t="s">
        <v>28</v>
      </c>
      <c r="T11" s="33" t="s">
        <v>28</v>
      </c>
      <c r="U11" s="35">
        <f t="shared" si="4"/>
        <v>147</v>
      </c>
      <c r="V11" s="35">
        <f t="shared" si="5"/>
        <v>108</v>
      </c>
      <c r="W11" s="36">
        <f t="shared" si="6"/>
        <v>108</v>
      </c>
      <c r="X11" s="36" t="str">
        <f t="shared" si="7"/>
        <v>&gt;</v>
      </c>
      <c r="Y11" s="36">
        <f t="shared" si="8"/>
        <v>61.83333333</v>
      </c>
      <c r="Z11" s="37">
        <f t="shared" si="9"/>
        <v>123.6666667</v>
      </c>
      <c r="AA11" s="42">
        <v>100.0</v>
      </c>
      <c r="AB11" s="39" t="str">
        <f t="shared" si="10"/>
        <v>SI</v>
      </c>
      <c r="AC11" s="39" t="str">
        <f t="shared" si="11"/>
        <v>SI</v>
      </c>
      <c r="AD11" s="40" t="str">
        <f t="shared" si="12"/>
        <v>0</v>
      </c>
      <c r="AE11" s="40" t="str">
        <f t="shared" si="13"/>
        <v>0</v>
      </c>
    </row>
    <row r="12" ht="24.0" customHeight="1">
      <c r="A12" s="1"/>
      <c r="B12" s="31">
        <v>5.0</v>
      </c>
      <c r="C12" s="41" t="s">
        <v>29</v>
      </c>
      <c r="D12" s="33">
        <v>3.78</v>
      </c>
      <c r="E12" s="33">
        <v>3.66</v>
      </c>
      <c r="F12" s="33">
        <v>2.88</v>
      </c>
      <c r="G12" s="34">
        <f t="shared" ref="G12:G13" si="14">+(D12*E12)/(F12*(D12+E12))</f>
        <v>0.6456653226</v>
      </c>
      <c r="H12" s="33">
        <v>1.0</v>
      </c>
      <c r="I12" s="33">
        <v>2.0</v>
      </c>
      <c r="J12" s="33">
        <f t="shared" ref="J12:J13" si="15">+H12+I12</f>
        <v>3</v>
      </c>
      <c r="K12" s="33">
        <f t="shared" ref="K12:K13" si="16">POWER(J12,2)</f>
        <v>9</v>
      </c>
      <c r="L12" s="23">
        <v>61.0</v>
      </c>
      <c r="M12" s="23">
        <v>72.0</v>
      </c>
      <c r="N12" s="23">
        <v>58.0</v>
      </c>
      <c r="O12" s="23">
        <v>52.0</v>
      </c>
      <c r="P12" s="23">
        <v>55.0</v>
      </c>
      <c r="Q12" s="23">
        <v>129.0</v>
      </c>
      <c r="R12" s="23">
        <v>154.0</v>
      </c>
      <c r="S12" s="23">
        <v>158.0</v>
      </c>
      <c r="T12" s="23">
        <v>122.0</v>
      </c>
      <c r="U12" s="35">
        <f t="shared" si="4"/>
        <v>158</v>
      </c>
      <c r="V12" s="35">
        <f t="shared" si="5"/>
        <v>52</v>
      </c>
      <c r="W12" s="36">
        <f t="shared" si="6"/>
        <v>52</v>
      </c>
      <c r="X12" s="36" t="str">
        <f t="shared" si="7"/>
        <v>&gt;</v>
      </c>
      <c r="Y12" s="36">
        <f t="shared" si="8"/>
        <v>47.83333333</v>
      </c>
      <c r="Z12" s="37">
        <f t="shared" si="9"/>
        <v>95.66666667</v>
      </c>
      <c r="AA12" s="42">
        <v>100.0</v>
      </c>
      <c r="AB12" s="39" t="str">
        <f t="shared" si="10"/>
        <v>SI</v>
      </c>
      <c r="AC12" s="39" t="str">
        <f t="shared" si="11"/>
        <v>NO</v>
      </c>
      <c r="AD12" s="40" t="str">
        <f t="shared" si="12"/>
        <v>0</v>
      </c>
      <c r="AE12" s="40" t="str">
        <f t="shared" si="13"/>
        <v>1</v>
      </c>
    </row>
    <row r="13" ht="24.0" customHeight="1">
      <c r="A13" s="1"/>
      <c r="B13" s="33">
        <v>6.0</v>
      </c>
      <c r="C13" s="41" t="s">
        <v>30</v>
      </c>
      <c r="D13" s="33">
        <v>3.61</v>
      </c>
      <c r="E13" s="33">
        <v>6.15</v>
      </c>
      <c r="F13" s="33">
        <v>2.88</v>
      </c>
      <c r="G13" s="34">
        <f t="shared" si="14"/>
        <v>0.7898416154</v>
      </c>
      <c r="H13" s="33">
        <v>1.0</v>
      </c>
      <c r="I13" s="33">
        <v>2.0</v>
      </c>
      <c r="J13" s="33">
        <f t="shared" si="15"/>
        <v>3</v>
      </c>
      <c r="K13" s="33">
        <f t="shared" si="16"/>
        <v>9</v>
      </c>
      <c r="L13" s="23">
        <v>50.0</v>
      </c>
      <c r="M13" s="23">
        <v>38.0</v>
      </c>
      <c r="N13" s="23">
        <v>45.0</v>
      </c>
      <c r="O13" s="23">
        <v>58.0</v>
      </c>
      <c r="P13" s="23">
        <v>97.0</v>
      </c>
      <c r="Q13" s="23">
        <v>70.0</v>
      </c>
      <c r="R13" s="23">
        <v>58.0</v>
      </c>
      <c r="S13" s="23">
        <v>101.0</v>
      </c>
      <c r="T13" s="23">
        <v>91.0</v>
      </c>
      <c r="U13" s="35">
        <f t="shared" si="4"/>
        <v>101</v>
      </c>
      <c r="V13" s="35">
        <f t="shared" si="5"/>
        <v>38</v>
      </c>
      <c r="W13" s="36">
        <f t="shared" si="6"/>
        <v>38</v>
      </c>
      <c r="X13" s="36" t="str">
        <f t="shared" si="7"/>
        <v>&gt;</v>
      </c>
      <c r="Y13" s="36">
        <f t="shared" si="8"/>
        <v>33.77777778</v>
      </c>
      <c r="Z13" s="37">
        <f t="shared" si="9"/>
        <v>67.55555556</v>
      </c>
      <c r="AA13" s="42">
        <v>500.0</v>
      </c>
      <c r="AB13" s="39" t="str">
        <f t="shared" si="10"/>
        <v>SI</v>
      </c>
      <c r="AC13" s="39" t="str">
        <f t="shared" si="11"/>
        <v>NO</v>
      </c>
      <c r="AD13" s="40" t="str">
        <f t="shared" si="12"/>
        <v>0</v>
      </c>
      <c r="AE13" s="40" t="str">
        <f t="shared" si="13"/>
        <v>1</v>
      </c>
    </row>
    <row r="14" ht="24.0" customHeight="1">
      <c r="A14" s="1"/>
      <c r="B14" s="33">
        <v>7.0</v>
      </c>
      <c r="C14" s="41" t="s">
        <v>31</v>
      </c>
      <c r="D14" s="33" t="s">
        <v>28</v>
      </c>
      <c r="E14" s="33" t="s">
        <v>28</v>
      </c>
      <c r="F14" s="33" t="s">
        <v>28</v>
      </c>
      <c r="G14" s="43" t="s">
        <v>28</v>
      </c>
      <c r="H14" s="33" t="s">
        <v>28</v>
      </c>
      <c r="I14" s="33" t="s">
        <v>28</v>
      </c>
      <c r="J14" s="33" t="s">
        <v>28</v>
      </c>
      <c r="K14" s="33" t="s">
        <v>28</v>
      </c>
      <c r="L14" s="23">
        <v>118.0</v>
      </c>
      <c r="M14" s="23">
        <v>153.0</v>
      </c>
      <c r="N14" s="23">
        <v>94.0</v>
      </c>
      <c r="O14" s="33" t="s">
        <v>28</v>
      </c>
      <c r="P14" s="33" t="s">
        <v>28</v>
      </c>
      <c r="Q14" s="33" t="s">
        <v>28</v>
      </c>
      <c r="R14" s="33" t="s">
        <v>28</v>
      </c>
      <c r="S14" s="33" t="s">
        <v>28</v>
      </c>
      <c r="T14" s="33" t="s">
        <v>28</v>
      </c>
      <c r="U14" s="35">
        <f t="shared" si="4"/>
        <v>153</v>
      </c>
      <c r="V14" s="35">
        <f t="shared" si="5"/>
        <v>94</v>
      </c>
      <c r="W14" s="36">
        <f t="shared" si="6"/>
        <v>94</v>
      </c>
      <c r="X14" s="36" t="str">
        <f t="shared" si="7"/>
        <v>&gt;</v>
      </c>
      <c r="Y14" s="36">
        <f t="shared" si="8"/>
        <v>60.83333333</v>
      </c>
      <c r="Z14" s="37">
        <f t="shared" si="9"/>
        <v>121.6666667</v>
      </c>
      <c r="AA14" s="42">
        <v>100.0</v>
      </c>
      <c r="AB14" s="39" t="str">
        <f t="shared" si="10"/>
        <v>SI</v>
      </c>
      <c r="AC14" s="39" t="str">
        <f t="shared" si="11"/>
        <v>SI</v>
      </c>
      <c r="AD14" s="40" t="str">
        <f t="shared" si="12"/>
        <v>0</v>
      </c>
      <c r="AE14" s="40" t="str">
        <f t="shared" si="13"/>
        <v>0</v>
      </c>
    </row>
    <row r="15" ht="24.0" customHeight="1">
      <c r="A15" s="1"/>
      <c r="B15" s="31">
        <v>8.0</v>
      </c>
      <c r="C15" s="41" t="s">
        <v>32</v>
      </c>
      <c r="D15" s="33">
        <v>15.51</v>
      </c>
      <c r="E15" s="33">
        <v>5.08</v>
      </c>
      <c r="F15" s="33">
        <v>4.53</v>
      </c>
      <c r="G15" s="34">
        <f t="shared" ref="G15:G16" si="17">+(D15*E15)/(F15*(D15+E15))</f>
        <v>0.8447359195</v>
      </c>
      <c r="H15" s="33">
        <v>1.0</v>
      </c>
      <c r="I15" s="33">
        <v>2.0</v>
      </c>
      <c r="J15" s="33">
        <f t="shared" ref="J15:J16" si="18">+H15+I15</f>
        <v>3</v>
      </c>
      <c r="K15" s="33">
        <f t="shared" ref="K15:K16" si="19">POWER(J15,2)</f>
        <v>9</v>
      </c>
      <c r="L15" s="23">
        <v>229.0</v>
      </c>
      <c r="M15" s="23">
        <v>231.0</v>
      </c>
      <c r="N15" s="23">
        <v>182.0</v>
      </c>
      <c r="O15" s="23">
        <v>179.0</v>
      </c>
      <c r="P15" s="23">
        <v>182.0</v>
      </c>
      <c r="Q15" s="23">
        <v>194.0</v>
      </c>
      <c r="R15" s="23">
        <v>234.0</v>
      </c>
      <c r="S15" s="23">
        <v>184.0</v>
      </c>
      <c r="T15" s="23">
        <v>165.0</v>
      </c>
      <c r="U15" s="35">
        <f t="shared" si="4"/>
        <v>234</v>
      </c>
      <c r="V15" s="35">
        <f t="shared" si="5"/>
        <v>165</v>
      </c>
      <c r="W15" s="36">
        <f t="shared" si="6"/>
        <v>165</v>
      </c>
      <c r="X15" s="36" t="str">
        <f t="shared" si="7"/>
        <v>&gt;</v>
      </c>
      <c r="Y15" s="36">
        <f t="shared" si="8"/>
        <v>98.88888889</v>
      </c>
      <c r="Z15" s="37">
        <f t="shared" si="9"/>
        <v>197.7777778</v>
      </c>
      <c r="AA15" s="42">
        <v>200.0</v>
      </c>
      <c r="AB15" s="39" t="str">
        <f t="shared" si="10"/>
        <v>SI</v>
      </c>
      <c r="AC15" s="39" t="str">
        <f t="shared" si="11"/>
        <v>NO</v>
      </c>
      <c r="AD15" s="40" t="str">
        <f t="shared" si="12"/>
        <v>0</v>
      </c>
      <c r="AE15" s="40" t="str">
        <f t="shared" si="13"/>
        <v>1</v>
      </c>
    </row>
    <row r="16" ht="24.0" customHeight="1">
      <c r="A16" s="1"/>
      <c r="B16" s="21">
        <v>9.0</v>
      </c>
      <c r="C16" s="21" t="s">
        <v>33</v>
      </c>
      <c r="D16" s="21">
        <v>10.08</v>
      </c>
      <c r="E16" s="21">
        <v>14.52</v>
      </c>
      <c r="F16" s="21">
        <v>2.94</v>
      </c>
      <c r="G16" s="21">
        <f t="shared" si="17"/>
        <v>2.02369338</v>
      </c>
      <c r="H16" s="21">
        <v>2.0</v>
      </c>
      <c r="I16" s="21">
        <v>2.0</v>
      </c>
      <c r="J16" s="21">
        <f t="shared" si="18"/>
        <v>4</v>
      </c>
      <c r="K16" s="21">
        <f t="shared" si="19"/>
        <v>16</v>
      </c>
      <c r="L16" s="23">
        <v>84.0</v>
      </c>
      <c r="M16" s="23">
        <v>107.0</v>
      </c>
      <c r="N16" s="23">
        <v>96.0</v>
      </c>
      <c r="O16" s="23">
        <v>99.0</v>
      </c>
      <c r="P16" s="23">
        <v>109.0</v>
      </c>
      <c r="Q16" s="23">
        <v>101.0</v>
      </c>
      <c r="R16" s="23">
        <v>98.0</v>
      </c>
      <c r="S16" s="23">
        <v>62.0</v>
      </c>
      <c r="T16" s="23">
        <v>59.0</v>
      </c>
      <c r="U16" s="35">
        <f t="shared" si="4"/>
        <v>109</v>
      </c>
      <c r="V16" s="35">
        <f t="shared" si="5"/>
        <v>59</v>
      </c>
      <c r="W16" s="25">
        <f>MIN(L16:T17)</f>
        <v>59</v>
      </c>
      <c r="X16" s="25" t="str">
        <f t="shared" si="7"/>
        <v>&gt;</v>
      </c>
      <c r="Y16" s="25">
        <f t="shared" si="8"/>
        <v>52.5</v>
      </c>
      <c r="Z16" s="25">
        <f>AVERAGE(L16:T17)</f>
        <v>105</v>
      </c>
      <c r="AA16" s="25">
        <v>300.0</v>
      </c>
      <c r="AB16" s="26" t="str">
        <f t="shared" si="10"/>
        <v>SI</v>
      </c>
      <c r="AC16" s="26" t="str">
        <f t="shared" si="11"/>
        <v>NO</v>
      </c>
      <c r="AD16" s="40" t="str">
        <f t="shared" si="12"/>
        <v>0</v>
      </c>
      <c r="AE16" s="40" t="str">
        <f t="shared" si="13"/>
        <v>1</v>
      </c>
    </row>
    <row r="17" ht="24.0" customHeight="1">
      <c r="A17" s="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3">
        <v>98.0</v>
      </c>
      <c r="M17" s="23">
        <v>94.0</v>
      </c>
      <c r="N17" s="23">
        <v>138.0</v>
      </c>
      <c r="O17" s="23">
        <v>123.0</v>
      </c>
      <c r="P17" s="23">
        <v>138.0</v>
      </c>
      <c r="Q17" s="23">
        <v>143.0</v>
      </c>
      <c r="R17" s="23">
        <v>128.0</v>
      </c>
      <c r="S17" s="23">
        <v>134.0</v>
      </c>
      <c r="T17" s="23">
        <v>79.0</v>
      </c>
      <c r="U17" s="35"/>
      <c r="V17" s="35"/>
      <c r="W17" s="15"/>
      <c r="X17" s="15"/>
      <c r="Y17" s="15"/>
      <c r="Z17" s="15"/>
      <c r="AA17" s="15"/>
      <c r="AB17" s="15"/>
      <c r="AC17" s="15"/>
      <c r="AD17" s="40"/>
      <c r="AE17" s="40"/>
    </row>
    <row r="18" ht="24.0" customHeight="1">
      <c r="A18" s="1"/>
      <c r="B18" s="33">
        <v>10.0</v>
      </c>
      <c r="C18" s="41" t="s">
        <v>34</v>
      </c>
      <c r="D18" s="33">
        <v>3.83</v>
      </c>
      <c r="E18" s="33">
        <v>6.2</v>
      </c>
      <c r="F18" s="33">
        <v>2.94</v>
      </c>
      <c r="G18" s="34">
        <f t="shared" ref="G18:G30" si="20">+(D18*E18)/(F18*(D18+E18))</f>
        <v>0.805271261</v>
      </c>
      <c r="H18" s="33">
        <v>1.0</v>
      </c>
      <c r="I18" s="33">
        <v>2.0</v>
      </c>
      <c r="J18" s="33">
        <f t="shared" ref="J18:J30" si="21">+H18+I18</f>
        <v>3</v>
      </c>
      <c r="K18" s="33">
        <f t="shared" ref="K18:K30" si="22">POWER(J18,2)</f>
        <v>9</v>
      </c>
      <c r="L18" s="23">
        <v>52.0</v>
      </c>
      <c r="M18" s="23">
        <v>56.0</v>
      </c>
      <c r="N18" s="23">
        <v>52.0</v>
      </c>
      <c r="O18" s="33" t="s">
        <v>28</v>
      </c>
      <c r="P18" s="33" t="s">
        <v>28</v>
      </c>
      <c r="Q18" s="33" t="s">
        <v>28</v>
      </c>
      <c r="R18" s="33" t="s">
        <v>28</v>
      </c>
      <c r="S18" s="33" t="s">
        <v>28</v>
      </c>
      <c r="T18" s="33" t="s">
        <v>28</v>
      </c>
      <c r="U18" s="35">
        <f t="shared" ref="U18:U32" si="23">MAX(L18:T18)</f>
        <v>56</v>
      </c>
      <c r="V18" s="35">
        <f t="shared" ref="V18:V32" si="24">MIN(L18:T18)</f>
        <v>52</v>
      </c>
      <c r="W18" s="36">
        <f t="shared" ref="W18:W32" si="25">MIN(L18:T18)</f>
        <v>52</v>
      </c>
      <c r="X18" s="36" t="str">
        <f t="shared" ref="X18:X32" si="26">IF(W18&gt;Y18,"&gt;","&lt;")</f>
        <v>&gt;</v>
      </c>
      <c r="Y18" s="36">
        <f t="shared" ref="Y18:Y32" si="27">+Z18/2</f>
        <v>26.66666667</v>
      </c>
      <c r="Z18" s="37">
        <f t="shared" ref="Z18:Z32" si="28">AVERAGE(L18:T18)</f>
        <v>53.33333333</v>
      </c>
      <c r="AA18" s="42">
        <v>100.0</v>
      </c>
      <c r="AB18" s="39" t="str">
        <f t="shared" ref="AB18:AB32" si="29">IF(W18&gt;Y18,"SI","NO")</f>
        <v>SI</v>
      </c>
      <c r="AC18" s="39" t="str">
        <f t="shared" ref="AC18:AC32" si="30">IF(Z18&gt;AA18,"SI","NO")</f>
        <v>NO</v>
      </c>
      <c r="AD18" s="40" t="str">
        <f t="shared" ref="AD18:AD32" si="31">IF(AB18=AE$2,"1","0")</f>
        <v>0</v>
      </c>
      <c r="AE18" s="40" t="str">
        <f t="shared" ref="AE18:AE32" si="32">IF(AC18=AE$2,"1","0")</f>
        <v>1</v>
      </c>
    </row>
    <row r="19" ht="24.0" customHeight="1">
      <c r="A19" s="1"/>
      <c r="B19" s="31">
        <v>11.0</v>
      </c>
      <c r="C19" s="41" t="s">
        <v>35</v>
      </c>
      <c r="D19" s="33">
        <v>3.83</v>
      </c>
      <c r="E19" s="33">
        <v>4.03</v>
      </c>
      <c r="F19" s="33">
        <v>2.94</v>
      </c>
      <c r="G19" s="34">
        <f t="shared" si="20"/>
        <v>0.6679346039</v>
      </c>
      <c r="H19" s="33">
        <v>1.0</v>
      </c>
      <c r="I19" s="33">
        <v>2.0</v>
      </c>
      <c r="J19" s="33">
        <f t="shared" si="21"/>
        <v>3</v>
      </c>
      <c r="K19" s="33">
        <f t="shared" si="22"/>
        <v>9</v>
      </c>
      <c r="L19" s="23">
        <v>28.0</v>
      </c>
      <c r="M19" s="23">
        <v>49.0</v>
      </c>
      <c r="N19" s="23">
        <v>36.0</v>
      </c>
      <c r="O19" s="23">
        <v>50.0</v>
      </c>
      <c r="P19" s="23">
        <v>53.0</v>
      </c>
      <c r="Q19" s="23">
        <v>35.0</v>
      </c>
      <c r="R19" s="23">
        <v>26.0</v>
      </c>
      <c r="S19" s="23">
        <v>40.0</v>
      </c>
      <c r="T19" s="23">
        <v>35.0</v>
      </c>
      <c r="U19" s="35">
        <f t="shared" si="23"/>
        <v>53</v>
      </c>
      <c r="V19" s="35">
        <f t="shared" si="24"/>
        <v>26</v>
      </c>
      <c r="W19" s="36">
        <f t="shared" si="25"/>
        <v>26</v>
      </c>
      <c r="X19" s="36" t="str">
        <f t="shared" si="26"/>
        <v>&gt;</v>
      </c>
      <c r="Y19" s="36">
        <f t="shared" si="27"/>
        <v>19.55555556</v>
      </c>
      <c r="Z19" s="37">
        <f t="shared" si="28"/>
        <v>39.11111111</v>
      </c>
      <c r="AA19" s="42">
        <v>50.0</v>
      </c>
      <c r="AB19" s="39" t="str">
        <f t="shared" si="29"/>
        <v>SI</v>
      </c>
      <c r="AC19" s="39" t="str">
        <f t="shared" si="30"/>
        <v>NO</v>
      </c>
      <c r="AD19" s="40" t="str">
        <f t="shared" si="31"/>
        <v>0</v>
      </c>
      <c r="AE19" s="40" t="str">
        <f t="shared" si="32"/>
        <v>1</v>
      </c>
    </row>
    <row r="20" ht="24.0" customHeight="1">
      <c r="A20" s="1"/>
      <c r="B20" s="33">
        <v>12.0</v>
      </c>
      <c r="C20" s="41" t="s">
        <v>36</v>
      </c>
      <c r="D20" s="33">
        <v>2.97</v>
      </c>
      <c r="E20" s="33">
        <v>3.89</v>
      </c>
      <c r="F20" s="33">
        <v>2.94</v>
      </c>
      <c r="G20" s="34">
        <f t="shared" si="20"/>
        <v>0.5728416731</v>
      </c>
      <c r="H20" s="33">
        <v>1.0</v>
      </c>
      <c r="I20" s="33">
        <v>2.0</v>
      </c>
      <c r="J20" s="33">
        <f t="shared" si="21"/>
        <v>3</v>
      </c>
      <c r="K20" s="33">
        <f t="shared" si="22"/>
        <v>9</v>
      </c>
      <c r="L20" s="23">
        <v>102.0</v>
      </c>
      <c r="M20" s="23">
        <v>86.0</v>
      </c>
      <c r="N20" s="23">
        <v>60.0</v>
      </c>
      <c r="O20" s="23">
        <v>103.0</v>
      </c>
      <c r="P20" s="23">
        <v>99.0</v>
      </c>
      <c r="Q20" s="23">
        <v>89.0</v>
      </c>
      <c r="R20" s="23">
        <v>84.0</v>
      </c>
      <c r="S20" s="23">
        <v>100.0</v>
      </c>
      <c r="T20" s="23">
        <v>103.0</v>
      </c>
      <c r="U20" s="35">
        <f t="shared" si="23"/>
        <v>103</v>
      </c>
      <c r="V20" s="35">
        <f t="shared" si="24"/>
        <v>60</v>
      </c>
      <c r="W20" s="36">
        <f t="shared" si="25"/>
        <v>60</v>
      </c>
      <c r="X20" s="36" t="str">
        <f t="shared" si="26"/>
        <v>&gt;</v>
      </c>
      <c r="Y20" s="36">
        <f t="shared" si="27"/>
        <v>45.88888889</v>
      </c>
      <c r="Z20" s="37">
        <f t="shared" si="28"/>
        <v>91.77777778</v>
      </c>
      <c r="AA20" s="42">
        <v>50.0</v>
      </c>
      <c r="AB20" s="39" t="str">
        <f t="shared" si="29"/>
        <v>SI</v>
      </c>
      <c r="AC20" s="39" t="str">
        <f t="shared" si="30"/>
        <v>SI</v>
      </c>
      <c r="AD20" s="40" t="str">
        <f t="shared" si="31"/>
        <v>0</v>
      </c>
      <c r="AE20" s="40" t="str">
        <f t="shared" si="32"/>
        <v>0</v>
      </c>
    </row>
    <row r="21" ht="24.0" customHeight="1">
      <c r="A21" s="1"/>
      <c r="B21" s="33">
        <v>13.0</v>
      </c>
      <c r="C21" s="41" t="s">
        <v>37</v>
      </c>
      <c r="D21" s="33">
        <v>2.56</v>
      </c>
      <c r="E21" s="33">
        <v>3.05</v>
      </c>
      <c r="F21" s="33">
        <v>2.94</v>
      </c>
      <c r="G21" s="34">
        <f t="shared" si="20"/>
        <v>0.4734014818</v>
      </c>
      <c r="H21" s="33">
        <v>1.0</v>
      </c>
      <c r="I21" s="33">
        <v>2.0</v>
      </c>
      <c r="J21" s="33">
        <f t="shared" si="21"/>
        <v>3</v>
      </c>
      <c r="K21" s="33">
        <f t="shared" si="22"/>
        <v>9</v>
      </c>
      <c r="L21" s="23">
        <v>281.0</v>
      </c>
      <c r="M21" s="23">
        <v>270.0</v>
      </c>
      <c r="N21" s="23">
        <v>249.0</v>
      </c>
      <c r="O21" s="23">
        <v>243.0</v>
      </c>
      <c r="P21" s="23">
        <v>275.0</v>
      </c>
      <c r="Q21" s="23">
        <v>280.0</v>
      </c>
      <c r="R21" s="23">
        <v>248.0</v>
      </c>
      <c r="S21" s="23">
        <v>230.0</v>
      </c>
      <c r="T21" s="23">
        <v>219.0</v>
      </c>
      <c r="U21" s="35">
        <f t="shared" si="23"/>
        <v>281</v>
      </c>
      <c r="V21" s="35">
        <f t="shared" si="24"/>
        <v>219</v>
      </c>
      <c r="W21" s="36">
        <f t="shared" si="25"/>
        <v>219</v>
      </c>
      <c r="X21" s="36" t="str">
        <f t="shared" si="26"/>
        <v>&gt;</v>
      </c>
      <c r="Y21" s="36">
        <f t="shared" si="27"/>
        <v>127.5</v>
      </c>
      <c r="Z21" s="37">
        <f t="shared" si="28"/>
        <v>255</v>
      </c>
      <c r="AA21" s="42">
        <v>300.0</v>
      </c>
      <c r="AB21" s="39" t="str">
        <f t="shared" si="29"/>
        <v>SI</v>
      </c>
      <c r="AC21" s="39" t="str">
        <f t="shared" si="30"/>
        <v>NO</v>
      </c>
      <c r="AD21" s="40" t="str">
        <f t="shared" si="31"/>
        <v>0</v>
      </c>
      <c r="AE21" s="40" t="str">
        <f t="shared" si="32"/>
        <v>1</v>
      </c>
    </row>
    <row r="22" ht="24.0" customHeight="1">
      <c r="A22" s="1"/>
      <c r="B22" s="31">
        <v>14.0</v>
      </c>
      <c r="C22" s="41" t="s">
        <v>38</v>
      </c>
      <c r="D22" s="33">
        <v>4.23</v>
      </c>
      <c r="E22" s="33">
        <v>3.71</v>
      </c>
      <c r="F22" s="33">
        <v>2.94</v>
      </c>
      <c r="G22" s="34">
        <f t="shared" si="20"/>
        <v>0.6722741994</v>
      </c>
      <c r="H22" s="33">
        <v>1.0</v>
      </c>
      <c r="I22" s="33">
        <v>2.0</v>
      </c>
      <c r="J22" s="33">
        <f t="shared" si="21"/>
        <v>3</v>
      </c>
      <c r="K22" s="33">
        <f t="shared" si="22"/>
        <v>9</v>
      </c>
      <c r="L22" s="23">
        <v>119.0</v>
      </c>
      <c r="M22" s="23">
        <v>92.0</v>
      </c>
      <c r="N22" s="23">
        <v>76.0</v>
      </c>
      <c r="O22" s="23">
        <v>105.0</v>
      </c>
      <c r="P22" s="23">
        <v>103.0</v>
      </c>
      <c r="Q22" s="23">
        <v>210.0</v>
      </c>
      <c r="R22" s="23">
        <v>139.0</v>
      </c>
      <c r="S22" s="23">
        <v>81.0</v>
      </c>
      <c r="T22" s="23">
        <v>114.0</v>
      </c>
      <c r="U22" s="35">
        <f t="shared" si="23"/>
        <v>210</v>
      </c>
      <c r="V22" s="35">
        <f t="shared" si="24"/>
        <v>76</v>
      </c>
      <c r="W22" s="36">
        <f t="shared" si="25"/>
        <v>76</v>
      </c>
      <c r="X22" s="36" t="str">
        <f t="shared" si="26"/>
        <v>&gt;</v>
      </c>
      <c r="Y22" s="36">
        <f t="shared" si="27"/>
        <v>57.72222222</v>
      </c>
      <c r="Z22" s="37">
        <f t="shared" si="28"/>
        <v>115.4444444</v>
      </c>
      <c r="AA22" s="42">
        <v>300.0</v>
      </c>
      <c r="AB22" s="39" t="str">
        <f t="shared" si="29"/>
        <v>SI</v>
      </c>
      <c r="AC22" s="39" t="str">
        <f t="shared" si="30"/>
        <v>NO</v>
      </c>
      <c r="AD22" s="40" t="str">
        <f t="shared" si="31"/>
        <v>0</v>
      </c>
      <c r="AE22" s="40" t="str">
        <f t="shared" si="32"/>
        <v>1</v>
      </c>
    </row>
    <row r="23" ht="24.0" customHeight="1">
      <c r="A23" s="1"/>
      <c r="B23" s="33">
        <v>15.0</v>
      </c>
      <c r="C23" s="41" t="s">
        <v>39</v>
      </c>
      <c r="D23" s="33">
        <v>5.75</v>
      </c>
      <c r="E23" s="33">
        <v>2.79</v>
      </c>
      <c r="F23" s="33">
        <v>2.94</v>
      </c>
      <c r="G23" s="34">
        <f t="shared" si="20"/>
        <v>0.6389499594</v>
      </c>
      <c r="H23" s="33">
        <v>1.0</v>
      </c>
      <c r="I23" s="33">
        <v>2.0</v>
      </c>
      <c r="J23" s="33">
        <f t="shared" si="21"/>
        <v>3</v>
      </c>
      <c r="K23" s="33">
        <f t="shared" si="22"/>
        <v>9</v>
      </c>
      <c r="L23" s="23">
        <v>188.0</v>
      </c>
      <c r="M23" s="23">
        <v>195.0</v>
      </c>
      <c r="N23" s="23">
        <v>164.0</v>
      </c>
      <c r="O23" s="23">
        <v>169.0</v>
      </c>
      <c r="P23" s="23">
        <v>163.0</v>
      </c>
      <c r="Q23" s="23">
        <v>156.0</v>
      </c>
      <c r="R23" s="23">
        <v>140.0</v>
      </c>
      <c r="S23" s="23">
        <v>138.0</v>
      </c>
      <c r="T23" s="23">
        <v>144.0</v>
      </c>
      <c r="U23" s="35">
        <f t="shared" si="23"/>
        <v>195</v>
      </c>
      <c r="V23" s="35">
        <f t="shared" si="24"/>
        <v>138</v>
      </c>
      <c r="W23" s="36">
        <f t="shared" si="25"/>
        <v>138</v>
      </c>
      <c r="X23" s="36" t="str">
        <f t="shared" si="26"/>
        <v>&gt;</v>
      </c>
      <c r="Y23" s="36">
        <f t="shared" si="27"/>
        <v>80.94444444</v>
      </c>
      <c r="Z23" s="37">
        <f t="shared" si="28"/>
        <v>161.8888889</v>
      </c>
      <c r="AA23" s="42">
        <v>300.0</v>
      </c>
      <c r="AB23" s="39" t="str">
        <f t="shared" si="29"/>
        <v>SI</v>
      </c>
      <c r="AC23" s="39" t="str">
        <f t="shared" si="30"/>
        <v>NO</v>
      </c>
      <c r="AD23" s="40" t="str">
        <f t="shared" si="31"/>
        <v>0</v>
      </c>
      <c r="AE23" s="40" t="str">
        <f t="shared" si="32"/>
        <v>1</v>
      </c>
    </row>
    <row r="24" ht="24.0" customHeight="1">
      <c r="A24" s="1"/>
      <c r="B24" s="33">
        <v>16.0</v>
      </c>
      <c r="C24" s="41" t="s">
        <v>40</v>
      </c>
      <c r="D24" s="33">
        <v>3.97</v>
      </c>
      <c r="E24" s="33">
        <v>3.66</v>
      </c>
      <c r="F24" s="33">
        <v>2.94</v>
      </c>
      <c r="G24" s="34">
        <f t="shared" si="20"/>
        <v>0.6477385187</v>
      </c>
      <c r="H24" s="33">
        <v>1.0</v>
      </c>
      <c r="I24" s="33">
        <v>2.0</v>
      </c>
      <c r="J24" s="33">
        <f t="shared" si="21"/>
        <v>3</v>
      </c>
      <c r="K24" s="33">
        <f t="shared" si="22"/>
        <v>9</v>
      </c>
      <c r="L24" s="23">
        <v>168.0</v>
      </c>
      <c r="M24" s="23">
        <v>185.0</v>
      </c>
      <c r="N24" s="23">
        <v>323.0</v>
      </c>
      <c r="O24" s="23">
        <v>273.0</v>
      </c>
      <c r="P24" s="23">
        <v>165.0</v>
      </c>
      <c r="Q24" s="23">
        <v>104.0</v>
      </c>
      <c r="R24" s="23">
        <v>189.0</v>
      </c>
      <c r="S24" s="23">
        <v>127.0</v>
      </c>
      <c r="T24" s="23">
        <v>81.0</v>
      </c>
      <c r="U24" s="35">
        <f t="shared" si="23"/>
        <v>323</v>
      </c>
      <c r="V24" s="35">
        <f t="shared" si="24"/>
        <v>81</v>
      </c>
      <c r="W24" s="36">
        <f t="shared" si="25"/>
        <v>81</v>
      </c>
      <c r="X24" s="36" t="str">
        <f t="shared" si="26"/>
        <v>&lt;</v>
      </c>
      <c r="Y24" s="36">
        <f t="shared" si="27"/>
        <v>89.72222222</v>
      </c>
      <c r="Z24" s="37">
        <f t="shared" si="28"/>
        <v>179.4444444</v>
      </c>
      <c r="AA24" s="42">
        <v>50.0</v>
      </c>
      <c r="AB24" s="39" t="str">
        <f t="shared" si="29"/>
        <v>NO</v>
      </c>
      <c r="AC24" s="39" t="str">
        <f t="shared" si="30"/>
        <v>SI</v>
      </c>
      <c r="AD24" s="40" t="str">
        <f t="shared" si="31"/>
        <v>1</v>
      </c>
      <c r="AE24" s="40" t="str">
        <f t="shared" si="32"/>
        <v>0</v>
      </c>
    </row>
    <row r="25" ht="24.0" customHeight="1">
      <c r="A25" s="1"/>
      <c r="B25" s="31">
        <v>17.0</v>
      </c>
      <c r="C25" s="41" t="s">
        <v>41</v>
      </c>
      <c r="D25" s="33">
        <v>7.11</v>
      </c>
      <c r="E25" s="33">
        <v>3.53</v>
      </c>
      <c r="F25" s="33">
        <v>2.94</v>
      </c>
      <c r="G25" s="34">
        <f t="shared" si="20"/>
        <v>0.8023342796</v>
      </c>
      <c r="H25" s="33">
        <v>1.0</v>
      </c>
      <c r="I25" s="33">
        <v>2.0</v>
      </c>
      <c r="J25" s="33">
        <f t="shared" si="21"/>
        <v>3</v>
      </c>
      <c r="K25" s="33">
        <f t="shared" si="22"/>
        <v>9</v>
      </c>
      <c r="L25" s="23">
        <v>98.0</v>
      </c>
      <c r="M25" s="23">
        <v>106.0</v>
      </c>
      <c r="N25" s="23">
        <v>112.0</v>
      </c>
      <c r="O25" s="23">
        <v>100.0</v>
      </c>
      <c r="P25" s="23">
        <v>187.0</v>
      </c>
      <c r="Q25" s="23">
        <v>196.0</v>
      </c>
      <c r="R25" s="23">
        <v>134.0</v>
      </c>
      <c r="S25" s="23">
        <v>96.0</v>
      </c>
      <c r="T25" s="23">
        <v>90.0</v>
      </c>
      <c r="U25" s="35">
        <f t="shared" si="23"/>
        <v>196</v>
      </c>
      <c r="V25" s="35">
        <f t="shared" si="24"/>
        <v>90</v>
      </c>
      <c r="W25" s="36">
        <f t="shared" si="25"/>
        <v>90</v>
      </c>
      <c r="X25" s="36" t="str">
        <f t="shared" si="26"/>
        <v>&gt;</v>
      </c>
      <c r="Y25" s="36">
        <f t="shared" si="27"/>
        <v>62.16666667</v>
      </c>
      <c r="Z25" s="37">
        <f t="shared" si="28"/>
        <v>124.3333333</v>
      </c>
      <c r="AA25" s="42">
        <v>50.0</v>
      </c>
      <c r="AB25" s="39" t="str">
        <f t="shared" si="29"/>
        <v>SI</v>
      </c>
      <c r="AC25" s="39" t="str">
        <f t="shared" si="30"/>
        <v>SI</v>
      </c>
      <c r="AD25" s="40" t="str">
        <f t="shared" si="31"/>
        <v>0</v>
      </c>
      <c r="AE25" s="40" t="str">
        <f t="shared" si="32"/>
        <v>0</v>
      </c>
    </row>
    <row r="26" ht="24.0" customHeight="1">
      <c r="A26" s="1"/>
      <c r="B26" s="33">
        <v>18.0</v>
      </c>
      <c r="C26" s="41" t="s">
        <v>42</v>
      </c>
      <c r="D26" s="33">
        <v>4.12</v>
      </c>
      <c r="E26" s="33">
        <v>3.32</v>
      </c>
      <c r="F26" s="33">
        <v>2.94</v>
      </c>
      <c r="G26" s="34">
        <f t="shared" si="20"/>
        <v>0.6253383074</v>
      </c>
      <c r="H26" s="33">
        <v>1.0</v>
      </c>
      <c r="I26" s="33">
        <v>2.0</v>
      </c>
      <c r="J26" s="33">
        <f t="shared" si="21"/>
        <v>3</v>
      </c>
      <c r="K26" s="33">
        <f t="shared" si="22"/>
        <v>9</v>
      </c>
      <c r="L26" s="23">
        <v>148.0</v>
      </c>
      <c r="M26" s="23">
        <v>150.0</v>
      </c>
      <c r="N26" s="23">
        <v>147.0</v>
      </c>
      <c r="O26" s="23">
        <v>125.0</v>
      </c>
      <c r="P26" s="23">
        <v>130.0</v>
      </c>
      <c r="Q26" s="23">
        <v>159.0</v>
      </c>
      <c r="R26" s="23">
        <v>150.0</v>
      </c>
      <c r="S26" s="23">
        <v>133.0</v>
      </c>
      <c r="T26" s="23">
        <v>119.0</v>
      </c>
      <c r="U26" s="35">
        <f t="shared" si="23"/>
        <v>159</v>
      </c>
      <c r="V26" s="35">
        <f t="shared" si="24"/>
        <v>119</v>
      </c>
      <c r="W26" s="36">
        <f t="shared" si="25"/>
        <v>119</v>
      </c>
      <c r="X26" s="36" t="str">
        <f t="shared" si="26"/>
        <v>&gt;</v>
      </c>
      <c r="Y26" s="36">
        <f t="shared" si="27"/>
        <v>70.05555556</v>
      </c>
      <c r="Z26" s="37">
        <f t="shared" si="28"/>
        <v>140.1111111</v>
      </c>
      <c r="AA26" s="42">
        <v>50.0</v>
      </c>
      <c r="AB26" s="39" t="str">
        <f t="shared" si="29"/>
        <v>SI</v>
      </c>
      <c r="AC26" s="39" t="str">
        <f t="shared" si="30"/>
        <v>SI</v>
      </c>
      <c r="AD26" s="40" t="str">
        <f t="shared" si="31"/>
        <v>0</v>
      </c>
      <c r="AE26" s="40" t="str">
        <f t="shared" si="32"/>
        <v>0</v>
      </c>
    </row>
    <row r="27" ht="24.0" customHeight="1">
      <c r="A27" s="1"/>
      <c r="B27" s="33">
        <v>19.0</v>
      </c>
      <c r="C27" s="41" t="s">
        <v>43</v>
      </c>
      <c r="D27" s="33">
        <v>3.1</v>
      </c>
      <c r="E27" s="33">
        <v>9.06</v>
      </c>
      <c r="F27" s="33">
        <v>2.94</v>
      </c>
      <c r="G27" s="34">
        <f t="shared" si="20"/>
        <v>0.7856135875</v>
      </c>
      <c r="H27" s="33">
        <v>1.0</v>
      </c>
      <c r="I27" s="33">
        <v>2.0</v>
      </c>
      <c r="J27" s="33">
        <f t="shared" si="21"/>
        <v>3</v>
      </c>
      <c r="K27" s="33">
        <f t="shared" si="22"/>
        <v>9</v>
      </c>
      <c r="L27" s="23">
        <v>24.0</v>
      </c>
      <c r="M27" s="23">
        <v>19.0</v>
      </c>
      <c r="N27" s="23">
        <v>16.0</v>
      </c>
      <c r="O27" s="23">
        <v>25.0</v>
      </c>
      <c r="P27" s="23">
        <v>22.0</v>
      </c>
      <c r="Q27" s="23">
        <v>18.0</v>
      </c>
      <c r="R27" s="23">
        <v>15.0</v>
      </c>
      <c r="S27" s="23">
        <v>34.0</v>
      </c>
      <c r="T27" s="23">
        <v>20.0</v>
      </c>
      <c r="U27" s="35">
        <f t="shared" si="23"/>
        <v>34</v>
      </c>
      <c r="V27" s="35">
        <f t="shared" si="24"/>
        <v>15</v>
      </c>
      <c r="W27" s="36">
        <f t="shared" si="25"/>
        <v>15</v>
      </c>
      <c r="X27" s="36" t="str">
        <f t="shared" si="26"/>
        <v>&gt;</v>
      </c>
      <c r="Y27" s="36">
        <f t="shared" si="27"/>
        <v>10.72222222</v>
      </c>
      <c r="Z27" s="37">
        <f t="shared" si="28"/>
        <v>21.44444444</v>
      </c>
      <c r="AA27" s="42">
        <v>50.0</v>
      </c>
      <c r="AB27" s="39" t="str">
        <f t="shared" si="29"/>
        <v>SI</v>
      </c>
      <c r="AC27" s="39" t="str">
        <f t="shared" si="30"/>
        <v>NO</v>
      </c>
      <c r="AD27" s="40" t="str">
        <f t="shared" si="31"/>
        <v>0</v>
      </c>
      <c r="AE27" s="40" t="str">
        <f t="shared" si="32"/>
        <v>1</v>
      </c>
    </row>
    <row r="28" ht="24.0" customHeight="1">
      <c r="A28" s="1"/>
      <c r="B28" s="31">
        <v>20.0</v>
      </c>
      <c r="C28" s="41" t="s">
        <v>44</v>
      </c>
      <c r="D28" s="33">
        <v>3.03</v>
      </c>
      <c r="E28" s="33">
        <v>20.87</v>
      </c>
      <c r="F28" s="33">
        <v>2.94</v>
      </c>
      <c r="G28" s="34">
        <f t="shared" si="20"/>
        <v>0.8999530356</v>
      </c>
      <c r="H28" s="33">
        <v>1.0</v>
      </c>
      <c r="I28" s="33">
        <v>2.0</v>
      </c>
      <c r="J28" s="33">
        <f t="shared" si="21"/>
        <v>3</v>
      </c>
      <c r="K28" s="33">
        <f t="shared" si="22"/>
        <v>9</v>
      </c>
      <c r="L28" s="23">
        <v>354.0</v>
      </c>
      <c r="M28" s="23">
        <v>38.0</v>
      </c>
      <c r="N28" s="23">
        <v>35.0</v>
      </c>
      <c r="O28" s="23">
        <v>47.0</v>
      </c>
      <c r="P28" s="23">
        <v>284.0</v>
      </c>
      <c r="Q28" s="23">
        <v>50.0</v>
      </c>
      <c r="R28" s="23">
        <v>31.0</v>
      </c>
      <c r="S28" s="23">
        <v>197.0</v>
      </c>
      <c r="T28" s="23">
        <v>85.0</v>
      </c>
      <c r="U28" s="35">
        <f t="shared" si="23"/>
        <v>354</v>
      </c>
      <c r="V28" s="35">
        <f t="shared" si="24"/>
        <v>31</v>
      </c>
      <c r="W28" s="36">
        <f t="shared" si="25"/>
        <v>31</v>
      </c>
      <c r="X28" s="36" t="str">
        <f t="shared" si="26"/>
        <v>&lt;</v>
      </c>
      <c r="Y28" s="36">
        <f t="shared" si="27"/>
        <v>62.27777778</v>
      </c>
      <c r="Z28" s="37">
        <f t="shared" si="28"/>
        <v>124.5555556</v>
      </c>
      <c r="AA28" s="42">
        <v>50.0</v>
      </c>
      <c r="AB28" s="39" t="str">
        <f t="shared" si="29"/>
        <v>NO</v>
      </c>
      <c r="AC28" s="39" t="str">
        <f t="shared" si="30"/>
        <v>SI</v>
      </c>
      <c r="AD28" s="40" t="str">
        <f t="shared" si="31"/>
        <v>1</v>
      </c>
      <c r="AE28" s="40" t="str">
        <f t="shared" si="32"/>
        <v>0</v>
      </c>
    </row>
    <row r="29" ht="24.0" customHeight="1">
      <c r="A29" s="1"/>
      <c r="B29" s="33">
        <v>21.0</v>
      </c>
      <c r="C29" s="41" t="s">
        <v>45</v>
      </c>
      <c r="D29" s="33">
        <v>4.22</v>
      </c>
      <c r="E29" s="33">
        <v>5.55</v>
      </c>
      <c r="F29" s="33">
        <v>2.94</v>
      </c>
      <c r="G29" s="34">
        <f t="shared" si="20"/>
        <v>0.8153865436</v>
      </c>
      <c r="H29" s="33">
        <v>1.0</v>
      </c>
      <c r="I29" s="33">
        <v>2.0</v>
      </c>
      <c r="J29" s="33">
        <f t="shared" si="21"/>
        <v>3</v>
      </c>
      <c r="K29" s="33">
        <f t="shared" si="22"/>
        <v>9</v>
      </c>
      <c r="L29" s="23">
        <v>150.0</v>
      </c>
      <c r="M29" s="23">
        <v>148.0</v>
      </c>
      <c r="N29" s="23">
        <v>246.0</v>
      </c>
      <c r="O29" s="23">
        <v>268.0</v>
      </c>
      <c r="P29" s="23">
        <v>355.0</v>
      </c>
      <c r="Q29" s="23">
        <v>325.0</v>
      </c>
      <c r="R29" s="23">
        <v>380.0</v>
      </c>
      <c r="S29" s="23">
        <v>120.0</v>
      </c>
      <c r="T29" s="23">
        <v>113.0</v>
      </c>
      <c r="U29" s="35">
        <f t="shared" si="23"/>
        <v>380</v>
      </c>
      <c r="V29" s="35">
        <f t="shared" si="24"/>
        <v>113</v>
      </c>
      <c r="W29" s="36">
        <f t="shared" si="25"/>
        <v>113</v>
      </c>
      <c r="X29" s="36" t="str">
        <f t="shared" si="26"/>
        <v>&lt;</v>
      </c>
      <c r="Y29" s="36">
        <f t="shared" si="27"/>
        <v>116.9444444</v>
      </c>
      <c r="Z29" s="37">
        <f t="shared" si="28"/>
        <v>233.8888889</v>
      </c>
      <c r="AA29" s="42">
        <v>50.0</v>
      </c>
      <c r="AB29" s="39" t="str">
        <f t="shared" si="29"/>
        <v>NO</v>
      </c>
      <c r="AC29" s="39" t="str">
        <f t="shared" si="30"/>
        <v>SI</v>
      </c>
      <c r="AD29" s="40" t="str">
        <f t="shared" si="31"/>
        <v>1</v>
      </c>
      <c r="AE29" s="40" t="str">
        <f t="shared" si="32"/>
        <v>0</v>
      </c>
    </row>
    <row r="30" ht="24.0" hidden="1" customHeight="1">
      <c r="A30" s="1"/>
      <c r="B30" s="33">
        <v>22.0</v>
      </c>
      <c r="C30" s="41" t="s">
        <v>46</v>
      </c>
      <c r="D30" s="33">
        <v>4.98</v>
      </c>
      <c r="E30" s="33">
        <v>8.2</v>
      </c>
      <c r="F30" s="33">
        <v>2.94</v>
      </c>
      <c r="G30" s="34">
        <f t="shared" si="20"/>
        <v>1.053854015</v>
      </c>
      <c r="H30" s="33">
        <v>1.0</v>
      </c>
      <c r="I30" s="33">
        <v>2.0</v>
      </c>
      <c r="J30" s="33">
        <f t="shared" si="21"/>
        <v>3</v>
      </c>
      <c r="K30" s="33">
        <f t="shared" si="22"/>
        <v>9</v>
      </c>
      <c r="L30" s="23"/>
      <c r="M30" s="23"/>
      <c r="N30" s="23"/>
      <c r="O30" s="23"/>
      <c r="P30" s="23"/>
      <c r="Q30" s="23"/>
      <c r="R30" s="23"/>
      <c r="S30" s="23"/>
      <c r="T30" s="23"/>
      <c r="U30" s="35">
        <f t="shared" si="23"/>
        <v>0</v>
      </c>
      <c r="V30" s="35">
        <f t="shared" si="24"/>
        <v>0</v>
      </c>
      <c r="W30" s="36">
        <f t="shared" si="25"/>
        <v>0</v>
      </c>
      <c r="X30" s="36" t="str">
        <f t="shared" si="26"/>
        <v>#DIV/0!</v>
      </c>
      <c r="Y30" s="36" t="str">
        <f t="shared" si="27"/>
        <v>#DIV/0!</v>
      </c>
      <c r="Z30" s="37" t="str">
        <f t="shared" si="28"/>
        <v>#DIV/0!</v>
      </c>
      <c r="AA30" s="42">
        <v>300.0</v>
      </c>
      <c r="AB30" s="39" t="str">
        <f t="shared" si="29"/>
        <v>#DIV/0!</v>
      </c>
      <c r="AC30" s="39" t="str">
        <f t="shared" si="30"/>
        <v>#DIV/0!</v>
      </c>
      <c r="AD30" s="40" t="str">
        <f t="shared" si="31"/>
        <v>#DIV/0!</v>
      </c>
      <c r="AE30" s="40" t="str">
        <f t="shared" si="32"/>
        <v>#DIV/0!</v>
      </c>
    </row>
    <row r="31" ht="24.0" customHeight="1">
      <c r="A31" s="1"/>
      <c r="B31" s="31">
        <v>23.0</v>
      </c>
      <c r="C31" s="41" t="s">
        <v>47</v>
      </c>
      <c r="D31" s="33" t="s">
        <v>28</v>
      </c>
      <c r="E31" s="33" t="s">
        <v>28</v>
      </c>
      <c r="F31" s="33" t="s">
        <v>28</v>
      </c>
      <c r="G31" s="43" t="s">
        <v>28</v>
      </c>
      <c r="H31" s="33" t="s">
        <v>28</v>
      </c>
      <c r="I31" s="33" t="s">
        <v>28</v>
      </c>
      <c r="J31" s="33" t="s">
        <v>28</v>
      </c>
      <c r="K31" s="33" t="s">
        <v>28</v>
      </c>
      <c r="L31" s="23">
        <v>111.0</v>
      </c>
      <c r="M31" s="23">
        <v>103.0</v>
      </c>
      <c r="N31" s="23">
        <v>91.0</v>
      </c>
      <c r="O31" s="33" t="s">
        <v>28</v>
      </c>
      <c r="P31" s="33" t="s">
        <v>28</v>
      </c>
      <c r="Q31" s="33" t="s">
        <v>28</v>
      </c>
      <c r="R31" s="33" t="s">
        <v>28</v>
      </c>
      <c r="S31" s="33" t="s">
        <v>28</v>
      </c>
      <c r="T31" s="33" t="s">
        <v>28</v>
      </c>
      <c r="U31" s="35">
        <f t="shared" si="23"/>
        <v>111</v>
      </c>
      <c r="V31" s="35">
        <f t="shared" si="24"/>
        <v>91</v>
      </c>
      <c r="W31" s="36">
        <f t="shared" si="25"/>
        <v>91</v>
      </c>
      <c r="X31" s="36" t="str">
        <f t="shared" si="26"/>
        <v>&gt;</v>
      </c>
      <c r="Y31" s="36">
        <f t="shared" si="27"/>
        <v>50.83333333</v>
      </c>
      <c r="Z31" s="37">
        <f t="shared" si="28"/>
        <v>101.6666667</v>
      </c>
      <c r="AA31" s="42">
        <v>300.0</v>
      </c>
      <c r="AB31" s="39" t="str">
        <f t="shared" si="29"/>
        <v>SI</v>
      </c>
      <c r="AC31" s="39" t="str">
        <f t="shared" si="30"/>
        <v>NO</v>
      </c>
      <c r="AD31" s="40" t="str">
        <f t="shared" si="31"/>
        <v>0</v>
      </c>
      <c r="AE31" s="40" t="str">
        <f t="shared" si="32"/>
        <v>1</v>
      </c>
    </row>
    <row r="32" ht="24.0" customHeight="1">
      <c r="A32" s="1"/>
      <c r="B32" s="33">
        <v>24.0</v>
      </c>
      <c r="C32" s="41" t="s">
        <v>48</v>
      </c>
      <c r="D32" s="33" t="s">
        <v>28</v>
      </c>
      <c r="E32" s="33" t="s">
        <v>28</v>
      </c>
      <c r="F32" s="33" t="s">
        <v>28</v>
      </c>
      <c r="G32" s="33" t="s">
        <v>28</v>
      </c>
      <c r="H32" s="33" t="s">
        <v>28</v>
      </c>
      <c r="I32" s="33" t="s">
        <v>28</v>
      </c>
      <c r="J32" s="33" t="s">
        <v>28</v>
      </c>
      <c r="K32" s="33" t="s">
        <v>28</v>
      </c>
      <c r="L32" s="23">
        <v>90.0</v>
      </c>
      <c r="M32" s="23">
        <v>71.0</v>
      </c>
      <c r="N32" s="23">
        <v>68.0</v>
      </c>
      <c r="O32" s="33" t="s">
        <v>28</v>
      </c>
      <c r="P32" s="33" t="s">
        <v>28</v>
      </c>
      <c r="Q32" s="33" t="s">
        <v>28</v>
      </c>
      <c r="R32" s="33" t="s">
        <v>28</v>
      </c>
      <c r="S32" s="33" t="s">
        <v>28</v>
      </c>
      <c r="T32" s="33" t="s">
        <v>28</v>
      </c>
      <c r="U32" s="35">
        <f t="shared" si="23"/>
        <v>90</v>
      </c>
      <c r="V32" s="35">
        <f t="shared" si="24"/>
        <v>68</v>
      </c>
      <c r="W32" s="36">
        <f t="shared" si="25"/>
        <v>68</v>
      </c>
      <c r="X32" s="36" t="str">
        <f t="shared" si="26"/>
        <v>&gt;</v>
      </c>
      <c r="Y32" s="36">
        <f t="shared" si="27"/>
        <v>38.16666667</v>
      </c>
      <c r="Z32" s="37">
        <f t="shared" si="28"/>
        <v>76.33333333</v>
      </c>
      <c r="AA32" s="42">
        <v>100.0</v>
      </c>
      <c r="AB32" s="39" t="str">
        <f t="shared" si="29"/>
        <v>SI</v>
      </c>
      <c r="AC32" s="39" t="str">
        <f t="shared" si="30"/>
        <v>NO</v>
      </c>
      <c r="AD32" s="40" t="str">
        <f t="shared" si="31"/>
        <v>0</v>
      </c>
      <c r="AE32" s="40" t="str">
        <f t="shared" si="32"/>
        <v>1</v>
      </c>
    </row>
    <row r="33" ht="35.25" customHeight="1">
      <c r="A33" s="1"/>
      <c r="B33" s="6" t="s">
        <v>3</v>
      </c>
      <c r="C33" s="6" t="s">
        <v>4</v>
      </c>
      <c r="D33" s="7" t="s">
        <v>5</v>
      </c>
      <c r="E33" s="8"/>
      <c r="F33" s="9"/>
      <c r="G33" s="6" t="s">
        <v>6</v>
      </c>
      <c r="H33" s="6" t="s">
        <v>7</v>
      </c>
      <c r="I33" s="6" t="s">
        <v>8</v>
      </c>
      <c r="J33" s="6" t="s">
        <v>9</v>
      </c>
      <c r="K33" s="6" t="s">
        <v>10</v>
      </c>
      <c r="L33" s="7" t="s">
        <v>11</v>
      </c>
      <c r="M33" s="8"/>
      <c r="N33" s="8"/>
      <c r="O33" s="8"/>
      <c r="P33" s="8"/>
      <c r="Q33" s="8"/>
      <c r="R33" s="8"/>
      <c r="S33" s="8"/>
      <c r="T33" s="10"/>
      <c r="U33" s="11" t="s">
        <v>12</v>
      </c>
      <c r="V33" s="11" t="s">
        <v>13</v>
      </c>
      <c r="W33" s="12" t="s">
        <v>14</v>
      </c>
      <c r="X33" s="13"/>
      <c r="Y33" s="14"/>
      <c r="Z33" s="6" t="s">
        <v>15</v>
      </c>
      <c r="AA33" s="6" t="s">
        <v>16</v>
      </c>
      <c r="AB33" s="6" t="s">
        <v>17</v>
      </c>
      <c r="AC33" s="6" t="s">
        <v>18</v>
      </c>
      <c r="AD33" s="6" t="s">
        <v>19</v>
      </c>
      <c r="AE33" s="6" t="s">
        <v>20</v>
      </c>
    </row>
    <row r="34" ht="33.0" customHeight="1">
      <c r="A34" s="1"/>
      <c r="B34" s="15"/>
      <c r="C34" s="15"/>
      <c r="D34" s="16" t="s">
        <v>21</v>
      </c>
      <c r="E34" s="16" t="s">
        <v>22</v>
      </c>
      <c r="F34" s="16" t="s">
        <v>23</v>
      </c>
      <c r="G34" s="15"/>
      <c r="H34" s="15"/>
      <c r="I34" s="15"/>
      <c r="J34" s="15"/>
      <c r="K34" s="15"/>
      <c r="L34" s="17">
        <v>1.0</v>
      </c>
      <c r="M34" s="17">
        <v>2.0</v>
      </c>
      <c r="N34" s="17">
        <v>3.0</v>
      </c>
      <c r="O34" s="17">
        <v>4.0</v>
      </c>
      <c r="P34" s="17">
        <v>5.0</v>
      </c>
      <c r="Q34" s="17">
        <v>6.0</v>
      </c>
      <c r="R34" s="17">
        <v>7.0</v>
      </c>
      <c r="S34" s="17">
        <v>8.0</v>
      </c>
      <c r="T34" s="17">
        <v>9.0</v>
      </c>
      <c r="U34" s="15"/>
      <c r="V34" s="15"/>
      <c r="W34" s="18"/>
      <c r="X34" s="19"/>
      <c r="Y34" s="20"/>
      <c r="Z34" s="15"/>
      <c r="AA34" s="15"/>
      <c r="AB34" s="15"/>
      <c r="AC34" s="15"/>
      <c r="AD34" s="15"/>
      <c r="AE34" s="15"/>
    </row>
    <row r="35" ht="24.0" customHeight="1">
      <c r="A35" s="1"/>
      <c r="B35" s="33">
        <v>25.0</v>
      </c>
      <c r="C35" s="41" t="s">
        <v>49</v>
      </c>
      <c r="D35" s="33" t="s">
        <v>28</v>
      </c>
      <c r="E35" s="33" t="s">
        <v>28</v>
      </c>
      <c r="F35" s="33" t="s">
        <v>28</v>
      </c>
      <c r="G35" s="33" t="s">
        <v>28</v>
      </c>
      <c r="H35" s="33" t="s">
        <v>28</v>
      </c>
      <c r="I35" s="33" t="s">
        <v>28</v>
      </c>
      <c r="J35" s="33" t="s">
        <v>28</v>
      </c>
      <c r="K35" s="33" t="s">
        <v>28</v>
      </c>
      <c r="L35" s="23">
        <v>110.0</v>
      </c>
      <c r="M35" s="23">
        <v>109.0</v>
      </c>
      <c r="N35" s="23">
        <v>98.0</v>
      </c>
      <c r="O35" s="33" t="s">
        <v>28</v>
      </c>
      <c r="P35" s="33" t="s">
        <v>28</v>
      </c>
      <c r="Q35" s="33" t="s">
        <v>28</v>
      </c>
      <c r="R35" s="33" t="s">
        <v>28</v>
      </c>
      <c r="S35" s="33" t="s">
        <v>28</v>
      </c>
      <c r="T35" s="33" t="s">
        <v>28</v>
      </c>
      <c r="U35" s="35">
        <f t="shared" ref="U35:U53" si="33">MAX(L35:T35)</f>
        <v>110</v>
      </c>
      <c r="V35" s="35">
        <f t="shared" ref="V35:V53" si="34">MIN(L35:T35)</f>
        <v>98</v>
      </c>
      <c r="W35" s="36">
        <f t="shared" ref="W35:W58" si="35">MIN(L35:T35)</f>
        <v>98</v>
      </c>
      <c r="X35" s="36" t="str">
        <f t="shared" ref="X35:X58" si="36">IF(W35&gt;Y35,"&gt;","&lt;")</f>
        <v>&gt;</v>
      </c>
      <c r="Y35" s="36">
        <f t="shared" ref="Y35:Y58" si="37">+Z35/2</f>
        <v>52.83333333</v>
      </c>
      <c r="Z35" s="37">
        <f t="shared" ref="Z35:Z58" si="38">AVERAGE(L35:T35)</f>
        <v>105.6666667</v>
      </c>
      <c r="AA35" s="42">
        <v>100.0</v>
      </c>
      <c r="AB35" s="39" t="str">
        <f t="shared" ref="AB35:AB58" si="39">IF(W35&gt;Y35,"SI","NO")</f>
        <v>SI</v>
      </c>
      <c r="AC35" s="39" t="str">
        <f t="shared" ref="AC35:AC58" si="40">IF(Z35&gt;AA35,"SI","NO")</f>
        <v>SI</v>
      </c>
      <c r="AD35" s="40" t="str">
        <f t="shared" ref="AD35:AD58" si="41">IF(AB35=AE$2,"1","0")</f>
        <v>0</v>
      </c>
      <c r="AE35" s="40" t="str">
        <f t="shared" ref="AE35:AE58" si="42">IF(AC35=AE$2,"1","0")</f>
        <v>0</v>
      </c>
    </row>
    <row r="36" ht="24.0" customHeight="1">
      <c r="A36" s="1"/>
      <c r="B36" s="31">
        <v>26.0</v>
      </c>
      <c r="C36" s="44" t="s">
        <v>50</v>
      </c>
      <c r="D36" s="33" t="s">
        <v>28</v>
      </c>
      <c r="E36" s="33" t="s">
        <v>28</v>
      </c>
      <c r="F36" s="33" t="s">
        <v>28</v>
      </c>
      <c r="G36" s="33" t="s">
        <v>28</v>
      </c>
      <c r="H36" s="33" t="s">
        <v>28</v>
      </c>
      <c r="I36" s="33" t="s">
        <v>28</v>
      </c>
      <c r="J36" s="33" t="s">
        <v>28</v>
      </c>
      <c r="K36" s="33" t="s">
        <v>28</v>
      </c>
      <c r="L36" s="23">
        <v>114.0</v>
      </c>
      <c r="M36" s="23">
        <v>117.0</v>
      </c>
      <c r="N36" s="33">
        <v>126.0</v>
      </c>
      <c r="O36" s="33" t="s">
        <v>28</v>
      </c>
      <c r="P36" s="33" t="s">
        <v>28</v>
      </c>
      <c r="Q36" s="33" t="s">
        <v>28</v>
      </c>
      <c r="R36" s="33" t="s">
        <v>28</v>
      </c>
      <c r="S36" s="33" t="s">
        <v>28</v>
      </c>
      <c r="T36" s="33" t="s">
        <v>28</v>
      </c>
      <c r="U36" s="35">
        <f t="shared" si="33"/>
        <v>126</v>
      </c>
      <c r="V36" s="35">
        <f t="shared" si="34"/>
        <v>114</v>
      </c>
      <c r="W36" s="36">
        <f t="shared" si="35"/>
        <v>114</v>
      </c>
      <c r="X36" s="36" t="str">
        <f t="shared" si="36"/>
        <v>&gt;</v>
      </c>
      <c r="Y36" s="36">
        <f t="shared" si="37"/>
        <v>59.5</v>
      </c>
      <c r="Z36" s="37">
        <f t="shared" si="38"/>
        <v>119</v>
      </c>
      <c r="AA36" s="42">
        <v>100.0</v>
      </c>
      <c r="AB36" s="39" t="str">
        <f t="shared" si="39"/>
        <v>SI</v>
      </c>
      <c r="AC36" s="39" t="str">
        <f t="shared" si="40"/>
        <v>SI</v>
      </c>
      <c r="AD36" s="40" t="str">
        <f t="shared" si="41"/>
        <v>0</v>
      </c>
      <c r="AE36" s="40" t="str">
        <f t="shared" si="42"/>
        <v>0</v>
      </c>
    </row>
    <row r="37" ht="24.0" customHeight="1">
      <c r="A37" s="1"/>
      <c r="B37" s="33">
        <v>27.0</v>
      </c>
      <c r="C37" s="44" t="s">
        <v>51</v>
      </c>
      <c r="D37" s="33" t="s">
        <v>28</v>
      </c>
      <c r="E37" s="33" t="s">
        <v>28</v>
      </c>
      <c r="F37" s="33" t="s">
        <v>28</v>
      </c>
      <c r="G37" s="33" t="s">
        <v>28</v>
      </c>
      <c r="H37" s="33" t="s">
        <v>28</v>
      </c>
      <c r="I37" s="33" t="s">
        <v>28</v>
      </c>
      <c r="J37" s="33" t="s">
        <v>28</v>
      </c>
      <c r="K37" s="33" t="s">
        <v>28</v>
      </c>
      <c r="L37" s="23">
        <v>516.0</v>
      </c>
      <c r="M37" s="23">
        <v>513.0</v>
      </c>
      <c r="N37" s="33">
        <v>274.0</v>
      </c>
      <c r="O37" s="33" t="s">
        <v>28</v>
      </c>
      <c r="P37" s="33" t="s">
        <v>28</v>
      </c>
      <c r="Q37" s="33" t="s">
        <v>28</v>
      </c>
      <c r="R37" s="33" t="s">
        <v>28</v>
      </c>
      <c r="S37" s="33" t="s">
        <v>28</v>
      </c>
      <c r="T37" s="33" t="s">
        <v>28</v>
      </c>
      <c r="U37" s="35">
        <f t="shared" si="33"/>
        <v>516</v>
      </c>
      <c r="V37" s="35">
        <f t="shared" si="34"/>
        <v>274</v>
      </c>
      <c r="W37" s="36">
        <f t="shared" si="35"/>
        <v>274</v>
      </c>
      <c r="X37" s="36" t="str">
        <f t="shared" si="36"/>
        <v>&gt;</v>
      </c>
      <c r="Y37" s="36">
        <f t="shared" si="37"/>
        <v>217.1666667</v>
      </c>
      <c r="Z37" s="37">
        <f t="shared" si="38"/>
        <v>434.3333333</v>
      </c>
      <c r="AA37" s="42">
        <v>100.0</v>
      </c>
      <c r="AB37" s="39" t="str">
        <f t="shared" si="39"/>
        <v>SI</v>
      </c>
      <c r="AC37" s="39" t="str">
        <f t="shared" si="40"/>
        <v>SI</v>
      </c>
      <c r="AD37" s="40" t="str">
        <f t="shared" si="41"/>
        <v>0</v>
      </c>
      <c r="AE37" s="40" t="str">
        <f t="shared" si="42"/>
        <v>0</v>
      </c>
    </row>
    <row r="38" ht="24.0" customHeight="1">
      <c r="A38" s="1"/>
      <c r="B38" s="33">
        <v>28.0</v>
      </c>
      <c r="C38" s="41" t="s">
        <v>52</v>
      </c>
      <c r="D38" s="33" t="s">
        <v>28</v>
      </c>
      <c r="E38" s="33" t="s">
        <v>28</v>
      </c>
      <c r="F38" s="33" t="s">
        <v>28</v>
      </c>
      <c r="G38" s="33" t="s">
        <v>28</v>
      </c>
      <c r="H38" s="33" t="s">
        <v>28</v>
      </c>
      <c r="I38" s="33" t="s">
        <v>28</v>
      </c>
      <c r="J38" s="33" t="s">
        <v>28</v>
      </c>
      <c r="K38" s="33" t="s">
        <v>28</v>
      </c>
      <c r="L38" s="23">
        <v>240.0</v>
      </c>
      <c r="M38" s="23">
        <v>291.0</v>
      </c>
      <c r="N38" s="33">
        <v>544.0</v>
      </c>
      <c r="O38" s="33" t="s">
        <v>28</v>
      </c>
      <c r="P38" s="33" t="s">
        <v>28</v>
      </c>
      <c r="Q38" s="33" t="s">
        <v>28</v>
      </c>
      <c r="R38" s="33" t="s">
        <v>28</v>
      </c>
      <c r="S38" s="33" t="s">
        <v>28</v>
      </c>
      <c r="T38" s="33" t="s">
        <v>28</v>
      </c>
      <c r="U38" s="35">
        <f t="shared" si="33"/>
        <v>544</v>
      </c>
      <c r="V38" s="35">
        <f t="shared" si="34"/>
        <v>240</v>
      </c>
      <c r="W38" s="36">
        <f t="shared" si="35"/>
        <v>240</v>
      </c>
      <c r="X38" s="36" t="str">
        <f t="shared" si="36"/>
        <v>&gt;</v>
      </c>
      <c r="Y38" s="36">
        <f t="shared" si="37"/>
        <v>179.1666667</v>
      </c>
      <c r="Z38" s="37">
        <f t="shared" si="38"/>
        <v>358.3333333</v>
      </c>
      <c r="AA38" s="42">
        <v>100.0</v>
      </c>
      <c r="AB38" s="39" t="str">
        <f t="shared" si="39"/>
        <v>SI</v>
      </c>
      <c r="AC38" s="39" t="str">
        <f t="shared" si="40"/>
        <v>SI</v>
      </c>
      <c r="AD38" s="40" t="str">
        <f t="shared" si="41"/>
        <v>0</v>
      </c>
      <c r="AE38" s="40" t="str">
        <f t="shared" si="42"/>
        <v>0</v>
      </c>
    </row>
    <row r="39" ht="24.0" customHeight="1">
      <c r="A39" s="1"/>
      <c r="B39" s="31">
        <v>29.0</v>
      </c>
      <c r="C39" s="41" t="s">
        <v>53</v>
      </c>
      <c r="D39" s="33">
        <v>2.6</v>
      </c>
      <c r="E39" s="33">
        <v>2.33</v>
      </c>
      <c r="F39" s="33">
        <v>2.7</v>
      </c>
      <c r="G39" s="34">
        <f t="shared" ref="G39:G45" si="43">+(D39*E39)/(F39*(D39+E39))</f>
        <v>0.4551123131</v>
      </c>
      <c r="H39" s="33">
        <v>1.0</v>
      </c>
      <c r="I39" s="33">
        <v>2.0</v>
      </c>
      <c r="J39" s="33">
        <f t="shared" ref="J39:J45" si="44">+H39+I39</f>
        <v>3</v>
      </c>
      <c r="K39" s="33">
        <f t="shared" ref="K39:K45" si="45">POWER(J39,2)</f>
        <v>9</v>
      </c>
      <c r="L39" s="23">
        <v>82.0</v>
      </c>
      <c r="M39" s="23">
        <v>87.0</v>
      </c>
      <c r="N39" s="23">
        <v>92.0</v>
      </c>
      <c r="O39" s="23">
        <v>150.0</v>
      </c>
      <c r="P39" s="23">
        <v>159.0</v>
      </c>
      <c r="Q39" s="23">
        <v>107.0</v>
      </c>
      <c r="R39" s="23">
        <v>109.0</v>
      </c>
      <c r="S39" s="23">
        <v>59.0</v>
      </c>
      <c r="T39" s="23">
        <v>57.0</v>
      </c>
      <c r="U39" s="35">
        <f t="shared" si="33"/>
        <v>159</v>
      </c>
      <c r="V39" s="35">
        <f t="shared" si="34"/>
        <v>57</v>
      </c>
      <c r="W39" s="36">
        <f t="shared" si="35"/>
        <v>57</v>
      </c>
      <c r="X39" s="36" t="str">
        <f t="shared" si="36"/>
        <v>&gt;</v>
      </c>
      <c r="Y39" s="36">
        <f t="shared" si="37"/>
        <v>50.11111111</v>
      </c>
      <c r="Z39" s="37">
        <f t="shared" si="38"/>
        <v>100.2222222</v>
      </c>
      <c r="AA39" s="42">
        <v>300.0</v>
      </c>
      <c r="AB39" s="39" t="str">
        <f t="shared" si="39"/>
        <v>SI</v>
      </c>
      <c r="AC39" s="39" t="str">
        <f t="shared" si="40"/>
        <v>NO</v>
      </c>
      <c r="AD39" s="40" t="str">
        <f t="shared" si="41"/>
        <v>0</v>
      </c>
      <c r="AE39" s="40" t="str">
        <f t="shared" si="42"/>
        <v>1</v>
      </c>
    </row>
    <row r="40" ht="24.0" customHeight="1">
      <c r="A40" s="1"/>
      <c r="B40" s="33">
        <v>30.0</v>
      </c>
      <c r="C40" s="41" t="s">
        <v>54</v>
      </c>
      <c r="D40" s="33">
        <v>2.61</v>
      </c>
      <c r="E40" s="33">
        <v>4.71</v>
      </c>
      <c r="F40" s="33">
        <v>2.7</v>
      </c>
      <c r="G40" s="34">
        <f t="shared" si="43"/>
        <v>0.6219945355</v>
      </c>
      <c r="H40" s="33">
        <v>1.0</v>
      </c>
      <c r="I40" s="33">
        <v>2.0</v>
      </c>
      <c r="J40" s="33">
        <f t="shared" si="44"/>
        <v>3</v>
      </c>
      <c r="K40" s="33">
        <f t="shared" si="45"/>
        <v>9</v>
      </c>
      <c r="L40" s="23">
        <v>193.0</v>
      </c>
      <c r="M40" s="23">
        <v>155.0</v>
      </c>
      <c r="N40" s="23">
        <v>167.0</v>
      </c>
      <c r="O40" s="23">
        <v>204.0</v>
      </c>
      <c r="P40" s="23">
        <v>182.0</v>
      </c>
      <c r="Q40" s="23">
        <v>164.0</v>
      </c>
      <c r="R40" s="23">
        <v>221.0</v>
      </c>
      <c r="S40" s="23">
        <v>215.0</v>
      </c>
      <c r="T40" s="23">
        <v>179.0</v>
      </c>
      <c r="U40" s="35">
        <f t="shared" si="33"/>
        <v>221</v>
      </c>
      <c r="V40" s="35">
        <f t="shared" si="34"/>
        <v>155</v>
      </c>
      <c r="W40" s="36">
        <f t="shared" si="35"/>
        <v>155</v>
      </c>
      <c r="X40" s="36" t="str">
        <f t="shared" si="36"/>
        <v>&gt;</v>
      </c>
      <c r="Y40" s="36">
        <f t="shared" si="37"/>
        <v>93.33333333</v>
      </c>
      <c r="Z40" s="37">
        <f t="shared" si="38"/>
        <v>186.6666667</v>
      </c>
      <c r="AA40" s="42">
        <v>300.0</v>
      </c>
      <c r="AB40" s="39" t="str">
        <f t="shared" si="39"/>
        <v>SI</v>
      </c>
      <c r="AC40" s="39" t="str">
        <f t="shared" si="40"/>
        <v>NO</v>
      </c>
      <c r="AD40" s="40" t="str">
        <f t="shared" si="41"/>
        <v>0</v>
      </c>
      <c r="AE40" s="40" t="str">
        <f t="shared" si="42"/>
        <v>1</v>
      </c>
    </row>
    <row r="41" ht="24.0" customHeight="1">
      <c r="A41" s="1"/>
      <c r="B41" s="33">
        <v>31.0</v>
      </c>
      <c r="C41" s="41" t="s">
        <v>55</v>
      </c>
      <c r="D41" s="33">
        <v>2.35</v>
      </c>
      <c r="E41" s="33">
        <v>2.8</v>
      </c>
      <c r="F41" s="33">
        <v>2.7</v>
      </c>
      <c r="G41" s="34">
        <f t="shared" si="43"/>
        <v>0.4732110752</v>
      </c>
      <c r="H41" s="33">
        <v>1.0</v>
      </c>
      <c r="I41" s="33">
        <v>2.0</v>
      </c>
      <c r="J41" s="33">
        <f t="shared" si="44"/>
        <v>3</v>
      </c>
      <c r="K41" s="33">
        <f t="shared" si="45"/>
        <v>9</v>
      </c>
      <c r="L41" s="23">
        <v>81.0</v>
      </c>
      <c r="M41" s="23">
        <v>79.0</v>
      </c>
      <c r="N41" s="23">
        <v>147.0</v>
      </c>
      <c r="O41" s="23">
        <v>106.0</v>
      </c>
      <c r="P41" s="23">
        <v>158.0</v>
      </c>
      <c r="Q41" s="23">
        <v>145.0</v>
      </c>
      <c r="R41" s="23">
        <v>131.0</v>
      </c>
      <c r="S41" s="23">
        <v>129.0</v>
      </c>
      <c r="T41" s="23">
        <v>145.0</v>
      </c>
      <c r="U41" s="35">
        <f t="shared" si="33"/>
        <v>158</v>
      </c>
      <c r="V41" s="35">
        <f t="shared" si="34"/>
        <v>79</v>
      </c>
      <c r="W41" s="36">
        <f t="shared" si="35"/>
        <v>79</v>
      </c>
      <c r="X41" s="36" t="str">
        <f t="shared" si="36"/>
        <v>&gt;</v>
      </c>
      <c r="Y41" s="36">
        <f t="shared" si="37"/>
        <v>62.27777778</v>
      </c>
      <c r="Z41" s="37">
        <f t="shared" si="38"/>
        <v>124.5555556</v>
      </c>
      <c r="AA41" s="42">
        <v>300.0</v>
      </c>
      <c r="AB41" s="39" t="str">
        <f t="shared" si="39"/>
        <v>SI</v>
      </c>
      <c r="AC41" s="39" t="str">
        <f t="shared" si="40"/>
        <v>NO</v>
      </c>
      <c r="AD41" s="40" t="str">
        <f t="shared" si="41"/>
        <v>0</v>
      </c>
      <c r="AE41" s="40" t="str">
        <f t="shared" si="42"/>
        <v>1</v>
      </c>
    </row>
    <row r="42" ht="24.0" customHeight="1">
      <c r="A42" s="1"/>
      <c r="B42" s="31">
        <v>32.0</v>
      </c>
      <c r="C42" s="41" t="s">
        <v>56</v>
      </c>
      <c r="D42" s="33">
        <v>4.1</v>
      </c>
      <c r="E42" s="33">
        <v>7.16</v>
      </c>
      <c r="F42" s="33">
        <v>2.7</v>
      </c>
      <c r="G42" s="34">
        <f t="shared" si="43"/>
        <v>0.9655943688</v>
      </c>
      <c r="H42" s="33">
        <v>1.0</v>
      </c>
      <c r="I42" s="33">
        <v>2.0</v>
      </c>
      <c r="J42" s="33">
        <f t="shared" si="44"/>
        <v>3</v>
      </c>
      <c r="K42" s="33">
        <f t="shared" si="45"/>
        <v>9</v>
      </c>
      <c r="L42" s="23">
        <v>112.0</v>
      </c>
      <c r="M42" s="23">
        <v>115.0</v>
      </c>
      <c r="N42" s="23">
        <v>148.0</v>
      </c>
      <c r="O42" s="23">
        <v>156.0</v>
      </c>
      <c r="P42" s="23">
        <v>109.0</v>
      </c>
      <c r="Q42" s="23">
        <v>127.0</v>
      </c>
      <c r="R42" s="23">
        <v>140.0</v>
      </c>
      <c r="S42" s="23">
        <v>166.0</v>
      </c>
      <c r="T42" s="23">
        <v>155.0</v>
      </c>
      <c r="U42" s="35">
        <f t="shared" si="33"/>
        <v>166</v>
      </c>
      <c r="V42" s="35">
        <f t="shared" si="34"/>
        <v>109</v>
      </c>
      <c r="W42" s="36">
        <f t="shared" si="35"/>
        <v>109</v>
      </c>
      <c r="X42" s="36" t="str">
        <f t="shared" si="36"/>
        <v>&gt;</v>
      </c>
      <c r="Y42" s="36">
        <f t="shared" si="37"/>
        <v>68.22222222</v>
      </c>
      <c r="Z42" s="37">
        <f t="shared" si="38"/>
        <v>136.4444444</v>
      </c>
      <c r="AA42" s="42">
        <v>300.0</v>
      </c>
      <c r="AB42" s="39" t="str">
        <f t="shared" si="39"/>
        <v>SI</v>
      </c>
      <c r="AC42" s="39" t="str">
        <f t="shared" si="40"/>
        <v>NO</v>
      </c>
      <c r="AD42" s="40" t="str">
        <f t="shared" si="41"/>
        <v>0</v>
      </c>
      <c r="AE42" s="40" t="str">
        <f t="shared" si="42"/>
        <v>1</v>
      </c>
    </row>
    <row r="43" ht="24.0" customHeight="1">
      <c r="A43" s="1"/>
      <c r="B43" s="33">
        <v>33.0</v>
      </c>
      <c r="C43" s="41" t="s">
        <v>57</v>
      </c>
      <c r="D43" s="42">
        <v>4.04</v>
      </c>
      <c r="E43" s="42">
        <v>3.05</v>
      </c>
      <c r="F43" s="42">
        <v>2.7</v>
      </c>
      <c r="G43" s="34">
        <f t="shared" si="43"/>
        <v>0.6436817636</v>
      </c>
      <c r="H43" s="33">
        <v>1.0</v>
      </c>
      <c r="I43" s="33">
        <v>2.0</v>
      </c>
      <c r="J43" s="33">
        <f t="shared" si="44"/>
        <v>3</v>
      </c>
      <c r="K43" s="33">
        <f t="shared" si="45"/>
        <v>9</v>
      </c>
      <c r="L43" s="23">
        <v>168.0</v>
      </c>
      <c r="M43" s="23">
        <v>136.0</v>
      </c>
      <c r="N43" s="23">
        <v>151.0</v>
      </c>
      <c r="O43" s="23">
        <v>170.0</v>
      </c>
      <c r="P43" s="23">
        <v>121.0</v>
      </c>
      <c r="Q43" s="23">
        <v>105.0</v>
      </c>
      <c r="R43" s="23">
        <v>97.0</v>
      </c>
      <c r="S43" s="23">
        <v>77.0</v>
      </c>
      <c r="T43" s="23">
        <v>77.0</v>
      </c>
      <c r="U43" s="35">
        <f t="shared" si="33"/>
        <v>170</v>
      </c>
      <c r="V43" s="35">
        <f t="shared" si="34"/>
        <v>77</v>
      </c>
      <c r="W43" s="36">
        <f t="shared" si="35"/>
        <v>77</v>
      </c>
      <c r="X43" s="36" t="str">
        <f t="shared" si="36"/>
        <v>&gt;</v>
      </c>
      <c r="Y43" s="36">
        <f t="shared" si="37"/>
        <v>61.22222222</v>
      </c>
      <c r="Z43" s="37">
        <f t="shared" si="38"/>
        <v>122.4444444</v>
      </c>
      <c r="AA43" s="42">
        <v>300.0</v>
      </c>
      <c r="AB43" s="39" t="str">
        <f t="shared" si="39"/>
        <v>SI</v>
      </c>
      <c r="AC43" s="39" t="str">
        <f t="shared" si="40"/>
        <v>NO</v>
      </c>
      <c r="AD43" s="40" t="str">
        <f t="shared" si="41"/>
        <v>0</v>
      </c>
      <c r="AE43" s="40" t="str">
        <f t="shared" si="42"/>
        <v>1</v>
      </c>
    </row>
    <row r="44" ht="24.0" customHeight="1">
      <c r="A44" s="1"/>
      <c r="B44" s="33">
        <v>34.0</v>
      </c>
      <c r="C44" s="41" t="s">
        <v>58</v>
      </c>
      <c r="D44" s="33">
        <v>4.67</v>
      </c>
      <c r="E44" s="33">
        <v>4.53</v>
      </c>
      <c r="F44" s="33">
        <v>2.67</v>
      </c>
      <c r="G44" s="34">
        <f t="shared" si="43"/>
        <v>0.8612237421</v>
      </c>
      <c r="H44" s="33">
        <v>1.0</v>
      </c>
      <c r="I44" s="33">
        <v>2.0</v>
      </c>
      <c r="J44" s="33">
        <f t="shared" si="44"/>
        <v>3</v>
      </c>
      <c r="K44" s="33">
        <f t="shared" si="45"/>
        <v>9</v>
      </c>
      <c r="L44" s="23">
        <v>144.0</v>
      </c>
      <c r="M44" s="23">
        <v>132.0</v>
      </c>
      <c r="N44" s="23">
        <v>313.0</v>
      </c>
      <c r="O44" s="23">
        <v>320.0</v>
      </c>
      <c r="P44" s="23">
        <v>308.0</v>
      </c>
      <c r="Q44" s="23">
        <v>306.0</v>
      </c>
      <c r="R44" s="23">
        <v>232.0</v>
      </c>
      <c r="S44" s="23">
        <v>221.0</v>
      </c>
      <c r="T44" s="23">
        <v>240.0</v>
      </c>
      <c r="U44" s="35">
        <f t="shared" si="33"/>
        <v>320</v>
      </c>
      <c r="V44" s="35">
        <f t="shared" si="34"/>
        <v>132</v>
      </c>
      <c r="W44" s="36">
        <f t="shared" si="35"/>
        <v>132</v>
      </c>
      <c r="X44" s="36" t="str">
        <f t="shared" si="36"/>
        <v>&gt;</v>
      </c>
      <c r="Y44" s="36">
        <f t="shared" si="37"/>
        <v>123.1111111</v>
      </c>
      <c r="Z44" s="37">
        <f t="shared" si="38"/>
        <v>246.2222222</v>
      </c>
      <c r="AA44" s="42">
        <v>300.0</v>
      </c>
      <c r="AB44" s="39" t="str">
        <f t="shared" si="39"/>
        <v>SI</v>
      </c>
      <c r="AC44" s="39" t="str">
        <f t="shared" si="40"/>
        <v>NO</v>
      </c>
      <c r="AD44" s="40" t="str">
        <f t="shared" si="41"/>
        <v>0</v>
      </c>
      <c r="AE44" s="40" t="str">
        <f t="shared" si="42"/>
        <v>1</v>
      </c>
    </row>
    <row r="45" ht="24.0" customHeight="1">
      <c r="A45" s="1"/>
      <c r="B45" s="31">
        <v>35.0</v>
      </c>
      <c r="C45" s="41" t="s">
        <v>59</v>
      </c>
      <c r="D45" s="33">
        <v>5.6</v>
      </c>
      <c r="E45" s="33">
        <v>4.18</v>
      </c>
      <c r="F45" s="33">
        <v>3.83</v>
      </c>
      <c r="G45" s="34">
        <f t="shared" si="43"/>
        <v>0.6249232461</v>
      </c>
      <c r="H45" s="33">
        <v>1.0</v>
      </c>
      <c r="I45" s="33">
        <v>2.0</v>
      </c>
      <c r="J45" s="33">
        <f t="shared" si="44"/>
        <v>3</v>
      </c>
      <c r="K45" s="33">
        <f t="shared" si="45"/>
        <v>9</v>
      </c>
      <c r="L45" s="23">
        <v>521.0</v>
      </c>
      <c r="M45" s="23">
        <v>450.0</v>
      </c>
      <c r="N45" s="23">
        <v>465.0</v>
      </c>
      <c r="O45" s="23">
        <v>491.0</v>
      </c>
      <c r="P45" s="23">
        <v>280.0</v>
      </c>
      <c r="Q45" s="23">
        <v>212.0</v>
      </c>
      <c r="R45" s="23">
        <v>169.0</v>
      </c>
      <c r="S45" s="23">
        <v>162.0</v>
      </c>
      <c r="T45" s="23">
        <v>121.0</v>
      </c>
      <c r="U45" s="35">
        <f t="shared" si="33"/>
        <v>521</v>
      </c>
      <c r="V45" s="35">
        <f t="shared" si="34"/>
        <v>121</v>
      </c>
      <c r="W45" s="36">
        <f t="shared" si="35"/>
        <v>121</v>
      </c>
      <c r="X45" s="36" t="str">
        <f t="shared" si="36"/>
        <v>&lt;</v>
      </c>
      <c r="Y45" s="36">
        <f t="shared" si="37"/>
        <v>159.5</v>
      </c>
      <c r="Z45" s="37">
        <f t="shared" si="38"/>
        <v>319</v>
      </c>
      <c r="AA45" s="42">
        <v>300.0</v>
      </c>
      <c r="AB45" s="39" t="str">
        <f t="shared" si="39"/>
        <v>NO</v>
      </c>
      <c r="AC45" s="39" t="str">
        <f t="shared" si="40"/>
        <v>SI</v>
      </c>
      <c r="AD45" s="40" t="str">
        <f t="shared" si="41"/>
        <v>1</v>
      </c>
      <c r="AE45" s="40" t="str">
        <f t="shared" si="42"/>
        <v>0</v>
      </c>
    </row>
    <row r="46" ht="24.0" customHeight="1">
      <c r="A46" s="1"/>
      <c r="B46" s="33">
        <v>36.0</v>
      </c>
      <c r="C46" s="41" t="s">
        <v>60</v>
      </c>
      <c r="D46" s="33" t="s">
        <v>28</v>
      </c>
      <c r="E46" s="33" t="s">
        <v>28</v>
      </c>
      <c r="F46" s="33" t="s">
        <v>28</v>
      </c>
      <c r="G46" s="33" t="s">
        <v>28</v>
      </c>
      <c r="H46" s="33" t="s">
        <v>28</v>
      </c>
      <c r="I46" s="33" t="s">
        <v>28</v>
      </c>
      <c r="J46" s="33" t="s">
        <v>28</v>
      </c>
      <c r="K46" s="33" t="s">
        <v>28</v>
      </c>
      <c r="L46" s="23">
        <v>218.0</v>
      </c>
      <c r="M46" s="23">
        <v>213.0</v>
      </c>
      <c r="N46" s="23">
        <v>241.0</v>
      </c>
      <c r="O46" s="33" t="s">
        <v>28</v>
      </c>
      <c r="P46" s="33" t="s">
        <v>28</v>
      </c>
      <c r="Q46" s="33" t="s">
        <v>28</v>
      </c>
      <c r="R46" s="33" t="s">
        <v>28</v>
      </c>
      <c r="S46" s="33" t="s">
        <v>28</v>
      </c>
      <c r="T46" s="33" t="s">
        <v>28</v>
      </c>
      <c r="U46" s="35">
        <f t="shared" si="33"/>
        <v>241</v>
      </c>
      <c r="V46" s="35">
        <f t="shared" si="34"/>
        <v>213</v>
      </c>
      <c r="W46" s="36">
        <f t="shared" si="35"/>
        <v>213</v>
      </c>
      <c r="X46" s="36" t="str">
        <f t="shared" si="36"/>
        <v>&gt;</v>
      </c>
      <c r="Y46" s="36">
        <f t="shared" si="37"/>
        <v>112</v>
      </c>
      <c r="Z46" s="37">
        <f t="shared" si="38"/>
        <v>224</v>
      </c>
      <c r="AA46" s="42">
        <v>200.0</v>
      </c>
      <c r="AB46" s="39" t="str">
        <f t="shared" si="39"/>
        <v>SI</v>
      </c>
      <c r="AC46" s="39" t="str">
        <f t="shared" si="40"/>
        <v>SI</v>
      </c>
      <c r="AD46" s="40" t="str">
        <f t="shared" si="41"/>
        <v>0</v>
      </c>
      <c r="AE46" s="40" t="str">
        <f t="shared" si="42"/>
        <v>0</v>
      </c>
    </row>
    <row r="47" ht="24.0" customHeight="1">
      <c r="A47" s="1"/>
      <c r="B47" s="33">
        <v>37.0</v>
      </c>
      <c r="C47" s="41" t="s">
        <v>61</v>
      </c>
      <c r="D47" s="33" t="s">
        <v>28</v>
      </c>
      <c r="E47" s="33" t="s">
        <v>28</v>
      </c>
      <c r="F47" s="33" t="s">
        <v>28</v>
      </c>
      <c r="G47" s="33" t="s">
        <v>28</v>
      </c>
      <c r="H47" s="33" t="s">
        <v>28</v>
      </c>
      <c r="I47" s="33" t="s">
        <v>28</v>
      </c>
      <c r="J47" s="33" t="s">
        <v>28</v>
      </c>
      <c r="K47" s="33" t="s">
        <v>28</v>
      </c>
      <c r="L47" s="23">
        <v>369.0</v>
      </c>
      <c r="M47" s="23">
        <v>622.0</v>
      </c>
      <c r="N47" s="23">
        <v>571.0</v>
      </c>
      <c r="O47" s="33" t="s">
        <v>28</v>
      </c>
      <c r="P47" s="33" t="s">
        <v>28</v>
      </c>
      <c r="Q47" s="33" t="s">
        <v>28</v>
      </c>
      <c r="R47" s="33" t="s">
        <v>28</v>
      </c>
      <c r="S47" s="33" t="s">
        <v>28</v>
      </c>
      <c r="T47" s="33" t="s">
        <v>28</v>
      </c>
      <c r="U47" s="35">
        <f t="shared" si="33"/>
        <v>622</v>
      </c>
      <c r="V47" s="35">
        <f t="shared" si="34"/>
        <v>369</v>
      </c>
      <c r="W47" s="36">
        <f t="shared" si="35"/>
        <v>369</v>
      </c>
      <c r="X47" s="36" t="str">
        <f t="shared" si="36"/>
        <v>&gt;</v>
      </c>
      <c r="Y47" s="36">
        <f t="shared" si="37"/>
        <v>260.3333333</v>
      </c>
      <c r="Z47" s="37">
        <f t="shared" si="38"/>
        <v>520.6666667</v>
      </c>
      <c r="AA47" s="42">
        <v>200.0</v>
      </c>
      <c r="AB47" s="39" t="str">
        <f t="shared" si="39"/>
        <v>SI</v>
      </c>
      <c r="AC47" s="39" t="str">
        <f t="shared" si="40"/>
        <v>SI</v>
      </c>
      <c r="AD47" s="40" t="str">
        <f t="shared" si="41"/>
        <v>0</v>
      </c>
      <c r="AE47" s="40" t="str">
        <f t="shared" si="42"/>
        <v>0</v>
      </c>
    </row>
    <row r="48" ht="24.0" customHeight="1">
      <c r="A48" s="1"/>
      <c r="B48" s="31">
        <v>38.0</v>
      </c>
      <c r="C48" s="41" t="s">
        <v>62</v>
      </c>
      <c r="D48" s="33">
        <v>2.97</v>
      </c>
      <c r="E48" s="33">
        <v>3.0</v>
      </c>
      <c r="F48" s="33">
        <v>2.7</v>
      </c>
      <c r="G48" s="21">
        <f>+(D48*E48)/(F48*(D48+E48))</f>
        <v>0.5527638191</v>
      </c>
      <c r="H48" s="33">
        <v>1.0</v>
      </c>
      <c r="I48" s="33">
        <v>2.0</v>
      </c>
      <c r="J48" s="33">
        <f>+H48+I48</f>
        <v>3</v>
      </c>
      <c r="K48" s="33">
        <f>POWER(J48,2)</f>
        <v>9</v>
      </c>
      <c r="L48" s="23">
        <v>169.0</v>
      </c>
      <c r="M48" s="23">
        <v>172.0</v>
      </c>
      <c r="N48" s="23">
        <v>136.0</v>
      </c>
      <c r="O48" s="23">
        <v>140.0</v>
      </c>
      <c r="P48" s="23">
        <v>194.0</v>
      </c>
      <c r="Q48" s="23">
        <v>172.0</v>
      </c>
      <c r="R48" s="23">
        <v>153.0</v>
      </c>
      <c r="S48" s="23">
        <v>188.0</v>
      </c>
      <c r="T48" s="23">
        <v>170.0</v>
      </c>
      <c r="U48" s="35">
        <f t="shared" si="33"/>
        <v>194</v>
      </c>
      <c r="V48" s="35">
        <f t="shared" si="34"/>
        <v>136</v>
      </c>
      <c r="W48" s="36">
        <f t="shared" si="35"/>
        <v>136</v>
      </c>
      <c r="X48" s="36" t="str">
        <f t="shared" si="36"/>
        <v>&gt;</v>
      </c>
      <c r="Y48" s="36">
        <f t="shared" si="37"/>
        <v>83</v>
      </c>
      <c r="Z48" s="37">
        <f t="shared" si="38"/>
        <v>166</v>
      </c>
      <c r="AA48" s="42">
        <v>300.0</v>
      </c>
      <c r="AB48" s="39" t="str">
        <f t="shared" si="39"/>
        <v>SI</v>
      </c>
      <c r="AC48" s="39" t="str">
        <f t="shared" si="40"/>
        <v>NO</v>
      </c>
      <c r="AD48" s="40" t="str">
        <f t="shared" si="41"/>
        <v>0</v>
      </c>
      <c r="AE48" s="40" t="str">
        <f t="shared" si="42"/>
        <v>1</v>
      </c>
    </row>
    <row r="49" ht="24.0" customHeight="1">
      <c r="A49" s="1"/>
      <c r="B49" s="33">
        <v>39.0</v>
      </c>
      <c r="C49" s="41" t="s">
        <v>63</v>
      </c>
      <c r="D49" s="33" t="s">
        <v>28</v>
      </c>
      <c r="E49" s="33" t="s">
        <v>28</v>
      </c>
      <c r="F49" s="33" t="s">
        <v>28</v>
      </c>
      <c r="G49" s="33" t="s">
        <v>28</v>
      </c>
      <c r="H49" s="33" t="s">
        <v>28</v>
      </c>
      <c r="I49" s="33" t="s">
        <v>28</v>
      </c>
      <c r="J49" s="33" t="s">
        <v>28</v>
      </c>
      <c r="K49" s="33" t="s">
        <v>28</v>
      </c>
      <c r="L49" s="23">
        <v>91.0</v>
      </c>
      <c r="M49" s="23">
        <v>96.0</v>
      </c>
      <c r="N49" s="23">
        <v>120.0</v>
      </c>
      <c r="O49" s="33" t="s">
        <v>28</v>
      </c>
      <c r="P49" s="33" t="s">
        <v>28</v>
      </c>
      <c r="Q49" s="33" t="s">
        <v>28</v>
      </c>
      <c r="R49" s="33" t="s">
        <v>28</v>
      </c>
      <c r="S49" s="33" t="s">
        <v>28</v>
      </c>
      <c r="T49" s="33" t="s">
        <v>28</v>
      </c>
      <c r="U49" s="35">
        <f t="shared" si="33"/>
        <v>120</v>
      </c>
      <c r="V49" s="35">
        <f t="shared" si="34"/>
        <v>91</v>
      </c>
      <c r="W49" s="36">
        <f t="shared" si="35"/>
        <v>91</v>
      </c>
      <c r="X49" s="36" t="str">
        <f t="shared" si="36"/>
        <v>&gt;</v>
      </c>
      <c r="Y49" s="36">
        <f t="shared" si="37"/>
        <v>51.16666667</v>
      </c>
      <c r="Z49" s="37">
        <f t="shared" si="38"/>
        <v>102.3333333</v>
      </c>
      <c r="AA49" s="42">
        <v>100.0</v>
      </c>
      <c r="AB49" s="39" t="str">
        <f t="shared" si="39"/>
        <v>SI</v>
      </c>
      <c r="AC49" s="39" t="str">
        <f t="shared" si="40"/>
        <v>SI</v>
      </c>
      <c r="AD49" s="40" t="str">
        <f t="shared" si="41"/>
        <v>0</v>
      </c>
      <c r="AE49" s="40" t="str">
        <f t="shared" si="42"/>
        <v>0</v>
      </c>
    </row>
    <row r="50" ht="24.0" customHeight="1">
      <c r="A50" s="1"/>
      <c r="B50" s="33">
        <v>40.0</v>
      </c>
      <c r="C50" s="41" t="s">
        <v>64</v>
      </c>
      <c r="D50" s="33">
        <v>3.94</v>
      </c>
      <c r="E50" s="33">
        <v>3.35</v>
      </c>
      <c r="F50" s="33">
        <v>3.32</v>
      </c>
      <c r="G50" s="34">
        <f>+(D50*E50)/(F50*(D50+E50))</f>
        <v>0.5453501248</v>
      </c>
      <c r="H50" s="33">
        <v>1.0</v>
      </c>
      <c r="I50" s="33">
        <v>2.0</v>
      </c>
      <c r="J50" s="33">
        <f>+H50+I50</f>
        <v>3</v>
      </c>
      <c r="K50" s="33">
        <f>POWER(J50,2)</f>
        <v>9</v>
      </c>
      <c r="L50" s="23">
        <v>240.0</v>
      </c>
      <c r="M50" s="23">
        <v>178.0</v>
      </c>
      <c r="N50" s="23">
        <v>188.0</v>
      </c>
      <c r="O50" s="23">
        <v>214.0</v>
      </c>
      <c r="P50" s="23">
        <v>203.0</v>
      </c>
      <c r="Q50" s="23">
        <v>211.0</v>
      </c>
      <c r="R50" s="23">
        <v>208.0</v>
      </c>
      <c r="S50" s="23">
        <v>210.0</v>
      </c>
      <c r="T50" s="23">
        <v>234.0</v>
      </c>
      <c r="U50" s="35">
        <f t="shared" si="33"/>
        <v>240</v>
      </c>
      <c r="V50" s="35">
        <f t="shared" si="34"/>
        <v>178</v>
      </c>
      <c r="W50" s="36">
        <f t="shared" si="35"/>
        <v>178</v>
      </c>
      <c r="X50" s="36" t="str">
        <f t="shared" si="36"/>
        <v>&gt;</v>
      </c>
      <c r="Y50" s="36">
        <f t="shared" si="37"/>
        <v>104.7777778</v>
      </c>
      <c r="Z50" s="37">
        <f t="shared" si="38"/>
        <v>209.5555556</v>
      </c>
      <c r="AA50" s="42">
        <v>200.0</v>
      </c>
      <c r="AB50" s="39" t="str">
        <f t="shared" si="39"/>
        <v>SI</v>
      </c>
      <c r="AC50" s="39" t="str">
        <f t="shared" si="40"/>
        <v>SI</v>
      </c>
      <c r="AD50" s="40" t="str">
        <f t="shared" si="41"/>
        <v>0</v>
      </c>
      <c r="AE50" s="40" t="str">
        <f t="shared" si="42"/>
        <v>0</v>
      </c>
    </row>
    <row r="51" ht="24.0" customHeight="1">
      <c r="A51" s="1"/>
      <c r="B51" s="31">
        <v>41.0</v>
      </c>
      <c r="C51" s="45" t="s">
        <v>65</v>
      </c>
      <c r="D51" s="33" t="s">
        <v>28</v>
      </c>
      <c r="E51" s="33" t="s">
        <v>28</v>
      </c>
      <c r="F51" s="33" t="s">
        <v>28</v>
      </c>
      <c r="G51" s="33" t="s">
        <v>28</v>
      </c>
      <c r="H51" s="33" t="s">
        <v>28</v>
      </c>
      <c r="I51" s="33" t="s">
        <v>28</v>
      </c>
      <c r="J51" s="33" t="s">
        <v>28</v>
      </c>
      <c r="K51" s="33" t="s">
        <v>28</v>
      </c>
      <c r="L51" s="23">
        <v>104.0</v>
      </c>
      <c r="M51" s="23">
        <v>179.0</v>
      </c>
      <c r="N51" s="23">
        <v>190.0</v>
      </c>
      <c r="O51" s="33" t="s">
        <v>28</v>
      </c>
      <c r="P51" s="33" t="s">
        <v>28</v>
      </c>
      <c r="Q51" s="33" t="s">
        <v>28</v>
      </c>
      <c r="R51" s="33" t="s">
        <v>28</v>
      </c>
      <c r="S51" s="33" t="s">
        <v>28</v>
      </c>
      <c r="T51" s="33" t="s">
        <v>28</v>
      </c>
      <c r="U51" s="35">
        <f t="shared" si="33"/>
        <v>190</v>
      </c>
      <c r="V51" s="35">
        <f t="shared" si="34"/>
        <v>104</v>
      </c>
      <c r="W51" s="36">
        <f t="shared" si="35"/>
        <v>104</v>
      </c>
      <c r="X51" s="36" t="str">
        <f t="shared" si="36"/>
        <v>&gt;</v>
      </c>
      <c r="Y51" s="36">
        <f t="shared" si="37"/>
        <v>78.83333333</v>
      </c>
      <c r="Z51" s="37">
        <f t="shared" si="38"/>
        <v>157.6666667</v>
      </c>
      <c r="AA51" s="42">
        <v>100.0</v>
      </c>
      <c r="AB51" s="39" t="str">
        <f t="shared" si="39"/>
        <v>SI</v>
      </c>
      <c r="AC51" s="39" t="str">
        <f t="shared" si="40"/>
        <v>SI</v>
      </c>
      <c r="AD51" s="40" t="str">
        <f t="shared" si="41"/>
        <v>0</v>
      </c>
      <c r="AE51" s="40" t="str">
        <f t="shared" si="42"/>
        <v>0</v>
      </c>
    </row>
    <row r="52" ht="24.0" customHeight="1">
      <c r="A52" s="1"/>
      <c r="B52" s="33">
        <v>42.0</v>
      </c>
      <c r="C52" s="41" t="s">
        <v>66</v>
      </c>
      <c r="D52" s="33">
        <v>3.78</v>
      </c>
      <c r="E52" s="33">
        <v>2.67</v>
      </c>
      <c r="F52" s="33">
        <v>4.25</v>
      </c>
      <c r="G52" s="34">
        <f t="shared" ref="G52:G58" si="46">+(D52*E52)/(F52*(D52+E52))</f>
        <v>0.3681751026</v>
      </c>
      <c r="H52" s="33">
        <v>1.0</v>
      </c>
      <c r="I52" s="33">
        <v>2.0</v>
      </c>
      <c r="J52" s="33">
        <f t="shared" ref="J52:J58" si="47">+H52+I52</f>
        <v>3</v>
      </c>
      <c r="K52" s="33">
        <f t="shared" ref="K52:K58" si="48">POWER(J52,2)</f>
        <v>9</v>
      </c>
      <c r="L52" s="23">
        <v>230.0</v>
      </c>
      <c r="M52" s="23">
        <v>202.0</v>
      </c>
      <c r="N52" s="23">
        <v>189.0</v>
      </c>
      <c r="O52" s="23">
        <v>203.0</v>
      </c>
      <c r="P52" s="23">
        <v>231.0</v>
      </c>
      <c r="Q52" s="23">
        <v>254.0</v>
      </c>
      <c r="R52" s="23">
        <v>212.0</v>
      </c>
      <c r="S52" s="23">
        <v>197.0</v>
      </c>
      <c r="T52" s="23">
        <v>201.0</v>
      </c>
      <c r="U52" s="35">
        <f t="shared" si="33"/>
        <v>254</v>
      </c>
      <c r="V52" s="35">
        <f t="shared" si="34"/>
        <v>189</v>
      </c>
      <c r="W52" s="36">
        <f t="shared" si="35"/>
        <v>189</v>
      </c>
      <c r="X52" s="36" t="str">
        <f t="shared" si="36"/>
        <v>&gt;</v>
      </c>
      <c r="Y52" s="36">
        <f t="shared" si="37"/>
        <v>106.6111111</v>
      </c>
      <c r="Z52" s="37">
        <f t="shared" si="38"/>
        <v>213.2222222</v>
      </c>
      <c r="AA52" s="42">
        <v>300.0</v>
      </c>
      <c r="AB52" s="39" t="str">
        <f t="shared" si="39"/>
        <v>SI</v>
      </c>
      <c r="AC52" s="39" t="str">
        <f t="shared" si="40"/>
        <v>NO</v>
      </c>
      <c r="AD52" s="40" t="str">
        <f t="shared" si="41"/>
        <v>0</v>
      </c>
      <c r="AE52" s="40" t="str">
        <f t="shared" si="42"/>
        <v>1</v>
      </c>
    </row>
    <row r="53" ht="24.0" customHeight="1">
      <c r="A53" s="1"/>
      <c r="B53" s="31">
        <v>43.0</v>
      </c>
      <c r="C53" s="41" t="s">
        <v>67</v>
      </c>
      <c r="D53" s="33">
        <v>7.77</v>
      </c>
      <c r="E53" s="33">
        <v>4.19</v>
      </c>
      <c r="F53" s="33">
        <v>2.94</v>
      </c>
      <c r="G53" s="21">
        <f t="shared" si="46"/>
        <v>0.9258838987</v>
      </c>
      <c r="H53" s="33">
        <v>1.0</v>
      </c>
      <c r="I53" s="33">
        <v>2.0</v>
      </c>
      <c r="J53" s="33">
        <f t="shared" si="47"/>
        <v>3</v>
      </c>
      <c r="K53" s="33">
        <f t="shared" si="48"/>
        <v>9</v>
      </c>
      <c r="L53" s="23">
        <v>98.0</v>
      </c>
      <c r="M53" s="23">
        <v>155.0</v>
      </c>
      <c r="N53" s="23">
        <v>145.0</v>
      </c>
      <c r="O53" s="23">
        <v>102.0</v>
      </c>
      <c r="P53" s="23">
        <v>87.0</v>
      </c>
      <c r="Q53" s="23">
        <v>143.0</v>
      </c>
      <c r="R53" s="23">
        <v>149.0</v>
      </c>
      <c r="S53" s="23">
        <v>144.0</v>
      </c>
      <c r="T53" s="23">
        <v>123.0</v>
      </c>
      <c r="U53" s="35">
        <f t="shared" si="33"/>
        <v>155</v>
      </c>
      <c r="V53" s="35">
        <f t="shared" si="34"/>
        <v>87</v>
      </c>
      <c r="W53" s="36">
        <f t="shared" si="35"/>
        <v>87</v>
      </c>
      <c r="X53" s="36" t="str">
        <f t="shared" si="36"/>
        <v>&gt;</v>
      </c>
      <c r="Y53" s="36">
        <f t="shared" si="37"/>
        <v>63.66666667</v>
      </c>
      <c r="Z53" s="37">
        <f t="shared" si="38"/>
        <v>127.3333333</v>
      </c>
      <c r="AA53" s="42">
        <v>500.0</v>
      </c>
      <c r="AB53" s="39" t="str">
        <f t="shared" si="39"/>
        <v>SI</v>
      </c>
      <c r="AC53" s="39" t="str">
        <f t="shared" si="40"/>
        <v>NO</v>
      </c>
      <c r="AD53" s="40" t="str">
        <f t="shared" si="41"/>
        <v>0</v>
      </c>
      <c r="AE53" s="40" t="str">
        <f t="shared" si="42"/>
        <v>1</v>
      </c>
    </row>
    <row r="54" ht="24.0" customHeight="1">
      <c r="A54" s="1"/>
      <c r="B54" s="33">
        <v>44.0</v>
      </c>
      <c r="C54" s="41" t="s">
        <v>68</v>
      </c>
      <c r="D54" s="33">
        <v>2.63</v>
      </c>
      <c r="E54" s="33">
        <v>4.18</v>
      </c>
      <c r="F54" s="33">
        <v>2.94</v>
      </c>
      <c r="G54" s="34">
        <f t="shared" si="46"/>
        <v>0.5490824817</v>
      </c>
      <c r="H54" s="33">
        <v>1.0</v>
      </c>
      <c r="I54" s="33">
        <v>2.0</v>
      </c>
      <c r="J54" s="33">
        <f t="shared" si="47"/>
        <v>3</v>
      </c>
      <c r="K54" s="33">
        <f t="shared" si="48"/>
        <v>9</v>
      </c>
      <c r="L54" s="23">
        <v>50.0</v>
      </c>
      <c r="M54" s="23">
        <v>19.0</v>
      </c>
      <c r="N54" s="23">
        <v>16.0</v>
      </c>
      <c r="O54" s="23">
        <v>14.0</v>
      </c>
      <c r="P54" s="23">
        <v>19.0</v>
      </c>
      <c r="Q54" s="23">
        <v>40.0</v>
      </c>
      <c r="R54" s="23">
        <v>45.0</v>
      </c>
      <c r="S54" s="23">
        <v>59.0</v>
      </c>
      <c r="T54" s="23">
        <v>31.0</v>
      </c>
      <c r="U54" s="35">
        <f>MAX(L55:T55)</f>
        <v>165</v>
      </c>
      <c r="V54" s="35">
        <f>MIN(L55:T55)</f>
        <v>93</v>
      </c>
      <c r="W54" s="36">
        <f t="shared" si="35"/>
        <v>14</v>
      </c>
      <c r="X54" s="36" t="str">
        <f t="shared" si="36"/>
        <v>&lt;</v>
      </c>
      <c r="Y54" s="36">
        <f t="shared" si="37"/>
        <v>16.27777778</v>
      </c>
      <c r="Z54" s="37">
        <f t="shared" si="38"/>
        <v>32.55555556</v>
      </c>
      <c r="AA54" s="42">
        <v>300.0</v>
      </c>
      <c r="AB54" s="39" t="str">
        <f t="shared" si="39"/>
        <v>NO</v>
      </c>
      <c r="AC54" s="39" t="str">
        <f t="shared" si="40"/>
        <v>NO</v>
      </c>
      <c r="AD54" s="40" t="str">
        <f t="shared" si="41"/>
        <v>1</v>
      </c>
      <c r="AE54" s="40" t="str">
        <f t="shared" si="42"/>
        <v>1</v>
      </c>
    </row>
    <row r="55" ht="24.0" customHeight="1">
      <c r="A55" s="1"/>
      <c r="B55" s="33">
        <v>45.0</v>
      </c>
      <c r="C55" s="41" t="s">
        <v>69</v>
      </c>
      <c r="D55" s="33">
        <v>2.75</v>
      </c>
      <c r="E55" s="33">
        <v>4.21</v>
      </c>
      <c r="F55" s="33">
        <v>2.94</v>
      </c>
      <c r="G55" s="34">
        <f t="shared" si="46"/>
        <v>0.5657938463</v>
      </c>
      <c r="H55" s="33">
        <v>1.0</v>
      </c>
      <c r="I55" s="33">
        <v>2.0</v>
      </c>
      <c r="J55" s="33">
        <f t="shared" si="47"/>
        <v>3</v>
      </c>
      <c r="K55" s="33">
        <f t="shared" si="48"/>
        <v>9</v>
      </c>
      <c r="L55" s="23">
        <v>165.0</v>
      </c>
      <c r="M55" s="23">
        <v>160.0</v>
      </c>
      <c r="N55" s="23">
        <v>150.0</v>
      </c>
      <c r="O55" s="23">
        <v>124.0</v>
      </c>
      <c r="P55" s="23">
        <v>127.0</v>
      </c>
      <c r="Q55" s="23">
        <v>130.0</v>
      </c>
      <c r="R55" s="23">
        <v>128.0</v>
      </c>
      <c r="S55" s="23">
        <v>95.0</v>
      </c>
      <c r="T55" s="23">
        <v>93.0</v>
      </c>
      <c r="U55" s="35">
        <f>MAX(L54:T54)</f>
        <v>59</v>
      </c>
      <c r="V55" s="35">
        <f>MIN(L54:T54)</f>
        <v>14</v>
      </c>
      <c r="W55" s="36">
        <f t="shared" si="35"/>
        <v>93</v>
      </c>
      <c r="X55" s="36" t="str">
        <f t="shared" si="36"/>
        <v>&gt;</v>
      </c>
      <c r="Y55" s="36">
        <f t="shared" si="37"/>
        <v>65.11111111</v>
      </c>
      <c r="Z55" s="37">
        <f t="shared" si="38"/>
        <v>130.2222222</v>
      </c>
      <c r="AA55" s="42">
        <v>50.0</v>
      </c>
      <c r="AB55" s="39" t="str">
        <f t="shared" si="39"/>
        <v>SI</v>
      </c>
      <c r="AC55" s="39" t="str">
        <f t="shared" si="40"/>
        <v>SI</v>
      </c>
      <c r="AD55" s="40" t="str">
        <f t="shared" si="41"/>
        <v>0</v>
      </c>
      <c r="AE55" s="40" t="str">
        <f t="shared" si="42"/>
        <v>0</v>
      </c>
    </row>
    <row r="56" ht="24.0" customHeight="1">
      <c r="A56" s="1"/>
      <c r="B56" s="31">
        <v>46.0</v>
      </c>
      <c r="C56" s="41" t="s">
        <v>70</v>
      </c>
      <c r="D56" s="33">
        <v>7.09</v>
      </c>
      <c r="E56" s="33">
        <v>7.72</v>
      </c>
      <c r="F56" s="33">
        <v>3.0</v>
      </c>
      <c r="G56" s="43">
        <f t="shared" si="46"/>
        <v>1.231933378</v>
      </c>
      <c r="H56" s="33">
        <v>1.0</v>
      </c>
      <c r="I56" s="33">
        <v>2.0</v>
      </c>
      <c r="J56" s="33">
        <f t="shared" si="47"/>
        <v>3</v>
      </c>
      <c r="K56" s="33">
        <f t="shared" si="48"/>
        <v>9</v>
      </c>
      <c r="L56" s="23">
        <v>328.0</v>
      </c>
      <c r="M56" s="23">
        <v>327.0</v>
      </c>
      <c r="N56" s="23">
        <v>342.0</v>
      </c>
      <c r="O56" s="23">
        <v>350.0</v>
      </c>
      <c r="P56" s="23">
        <v>99.0</v>
      </c>
      <c r="Q56" s="23">
        <v>154.0</v>
      </c>
      <c r="R56" s="23">
        <v>144.0</v>
      </c>
      <c r="S56" s="23">
        <v>13.0</v>
      </c>
      <c r="T56" s="23">
        <v>168.0</v>
      </c>
      <c r="U56" s="35">
        <f t="shared" ref="U56:U58" si="49">MAX(L56:T56)</f>
        <v>350</v>
      </c>
      <c r="V56" s="35">
        <f t="shared" ref="V56:V58" si="50">MIN(L56:T56)</f>
        <v>13</v>
      </c>
      <c r="W56" s="36">
        <f t="shared" si="35"/>
        <v>13</v>
      </c>
      <c r="X56" s="36" t="str">
        <f t="shared" si="36"/>
        <v>&lt;</v>
      </c>
      <c r="Y56" s="36">
        <f t="shared" si="37"/>
        <v>106.9444444</v>
      </c>
      <c r="Z56" s="37">
        <f t="shared" si="38"/>
        <v>213.8888889</v>
      </c>
      <c r="AA56" s="42">
        <v>300.0</v>
      </c>
      <c r="AB56" s="39" t="str">
        <f t="shared" si="39"/>
        <v>NO</v>
      </c>
      <c r="AC56" s="39" t="str">
        <f t="shared" si="40"/>
        <v>NO</v>
      </c>
      <c r="AD56" s="40" t="str">
        <f t="shared" si="41"/>
        <v>1</v>
      </c>
      <c r="AE56" s="40" t="str">
        <f t="shared" si="42"/>
        <v>1</v>
      </c>
    </row>
    <row r="57" ht="26.25" customHeight="1">
      <c r="A57" s="1"/>
      <c r="B57" s="33">
        <v>47.0</v>
      </c>
      <c r="C57" s="41" t="s">
        <v>71</v>
      </c>
      <c r="D57" s="33">
        <v>12.0</v>
      </c>
      <c r="E57" s="33">
        <v>6.0</v>
      </c>
      <c r="F57" s="33">
        <v>4.0</v>
      </c>
      <c r="G57" s="43">
        <f t="shared" si="46"/>
        <v>1</v>
      </c>
      <c r="H57" s="33">
        <v>1.0</v>
      </c>
      <c r="I57" s="33">
        <v>2.0</v>
      </c>
      <c r="J57" s="33">
        <f t="shared" si="47"/>
        <v>3</v>
      </c>
      <c r="K57" s="33">
        <f t="shared" si="48"/>
        <v>9</v>
      </c>
      <c r="L57" s="23">
        <v>52.0</v>
      </c>
      <c r="M57" s="23">
        <v>60.0</v>
      </c>
      <c r="N57" s="23">
        <v>48.0</v>
      </c>
      <c r="O57" s="23">
        <v>49.0</v>
      </c>
      <c r="P57" s="23">
        <v>99.0</v>
      </c>
      <c r="Q57" s="23">
        <v>97.0</v>
      </c>
      <c r="R57" s="23">
        <v>75.0</v>
      </c>
      <c r="S57" s="23">
        <v>98.0</v>
      </c>
      <c r="T57" s="23">
        <v>100.0</v>
      </c>
      <c r="U57" s="35">
        <f t="shared" si="49"/>
        <v>100</v>
      </c>
      <c r="V57" s="35">
        <f t="shared" si="50"/>
        <v>48</v>
      </c>
      <c r="W57" s="36">
        <f t="shared" si="35"/>
        <v>48</v>
      </c>
      <c r="X57" s="36" t="str">
        <f t="shared" si="36"/>
        <v>&gt;</v>
      </c>
      <c r="Y57" s="36">
        <f t="shared" si="37"/>
        <v>37.66666667</v>
      </c>
      <c r="Z57" s="37">
        <f t="shared" si="38"/>
        <v>75.33333333</v>
      </c>
      <c r="AA57" s="42">
        <v>300.0</v>
      </c>
      <c r="AB57" s="39" t="str">
        <f t="shared" si="39"/>
        <v>SI</v>
      </c>
      <c r="AC57" s="39" t="str">
        <f t="shared" si="40"/>
        <v>NO</v>
      </c>
      <c r="AD57" s="40" t="str">
        <f t="shared" si="41"/>
        <v>0</v>
      </c>
      <c r="AE57" s="40" t="str">
        <f t="shared" si="42"/>
        <v>1</v>
      </c>
    </row>
    <row r="58" ht="27.75" customHeight="1">
      <c r="A58" s="1"/>
      <c r="B58" s="31">
        <v>48.0</v>
      </c>
      <c r="C58" s="41" t="s">
        <v>72</v>
      </c>
      <c r="D58" s="33">
        <v>4.0</v>
      </c>
      <c r="E58" s="33">
        <v>2.0</v>
      </c>
      <c r="F58" s="33">
        <v>3.0</v>
      </c>
      <c r="G58" s="43">
        <f t="shared" si="46"/>
        <v>0.4444444444</v>
      </c>
      <c r="H58" s="33">
        <v>1.0</v>
      </c>
      <c r="I58" s="33">
        <v>2.0</v>
      </c>
      <c r="J58" s="33">
        <f t="shared" si="47"/>
        <v>3</v>
      </c>
      <c r="K58" s="33">
        <f t="shared" si="48"/>
        <v>9</v>
      </c>
      <c r="L58" s="23">
        <v>113.0</v>
      </c>
      <c r="M58" s="23">
        <v>115.0</v>
      </c>
      <c r="N58" s="23">
        <v>104.0</v>
      </c>
      <c r="O58" s="23">
        <v>101.0</v>
      </c>
      <c r="P58" s="23">
        <v>26.0</v>
      </c>
      <c r="Q58" s="23">
        <v>20.0</v>
      </c>
      <c r="R58" s="23">
        <v>27.0</v>
      </c>
      <c r="S58" s="23">
        <v>89.0</v>
      </c>
      <c r="T58" s="23">
        <v>92.0</v>
      </c>
      <c r="U58" s="35">
        <f t="shared" si="49"/>
        <v>115</v>
      </c>
      <c r="V58" s="35">
        <f t="shared" si="50"/>
        <v>20</v>
      </c>
      <c r="W58" s="36">
        <f t="shared" si="35"/>
        <v>20</v>
      </c>
      <c r="X58" s="36" t="str">
        <f t="shared" si="36"/>
        <v>&lt;</v>
      </c>
      <c r="Y58" s="36">
        <f t="shared" si="37"/>
        <v>38.16666667</v>
      </c>
      <c r="Z58" s="37">
        <f t="shared" si="38"/>
        <v>76.33333333</v>
      </c>
      <c r="AA58" s="42">
        <v>100.0</v>
      </c>
      <c r="AB58" s="39" t="str">
        <f t="shared" si="39"/>
        <v>NO</v>
      </c>
      <c r="AC58" s="39" t="str">
        <f t="shared" si="40"/>
        <v>NO</v>
      </c>
      <c r="AD58" s="40" t="str">
        <f t="shared" si="41"/>
        <v>1</v>
      </c>
      <c r="AE58" s="40" t="str">
        <f t="shared" si="42"/>
        <v>1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W59" s="1"/>
      <c r="X59" s="1"/>
      <c r="Y59" s="1"/>
      <c r="Z59" s="1"/>
      <c r="AA59" s="1"/>
      <c r="AB59" s="1"/>
      <c r="AC59" s="1"/>
      <c r="AD59" s="46" t="str">
        <f>+AD5+AD9+AD10+AD11+AD12+AD13+AD14+AD15+AD16+AD18+AD19+AD20+AD21+AD22+AD23+AD24+AD25+AD26+AD27+AD28+AD29+AD30+#REF!+#REF!+AD32+AD35+AD36+AD37+AD38+AD39+AD40+AD41+AD42+AD43+AD44+#REF!+AD45+AD46+AD47+AD48+AD49+AD50+AD51+AD52+AD53+AD54+AD55+AD56+#REF!+#REF!+AD57+AD58</f>
        <v>#DIV/0!</v>
      </c>
      <c r="AE59" s="47" t="str">
        <f>+AE5+AE9+AE10+AE11+AE12+AE13+AE14+AE15+AE16+AE18+AE19+AE20+AE21+AE22+AE23+AE24+AE25+AE26+AE27+AE28+AE29+AE30+AE31+#REF!+#REF!+#REF!+AE32+AE35+AE36+AE37+AE38+AE39+AE40+AE41+AE42+AE43+AE44+#REF!+AE45+AE46+AE47+AE48+AE49+AE50+AE51+AE52+AE53+AE54+AE55+AE56+#REF!+#REF!+AE57+AE58</f>
        <v>#DIV/0!</v>
      </c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1">
        <f>COUNT(L5:T31,L32:T58)</f>
        <v>390</v>
      </c>
      <c r="M64" s="1"/>
      <c r="N64" s="1"/>
      <c r="O64" s="1"/>
      <c r="P64" s="1"/>
      <c r="Q64" s="1"/>
      <c r="R64" s="1"/>
      <c r="S64" s="1"/>
      <c r="T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1"/>
      <c r="C70" s="1"/>
      <c r="D70" s="1"/>
      <c r="E70" s="1"/>
      <c r="F70" s="1"/>
      <c r="G70" s="1">
        <f>AVERAGE(F51:H69)</f>
        <v>1.674062531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75">
    <mergeCell ref="Y16:Y17"/>
    <mergeCell ref="Z16:Z17"/>
    <mergeCell ref="G16:G17"/>
    <mergeCell ref="H16:H17"/>
    <mergeCell ref="I16:I17"/>
    <mergeCell ref="J16:J17"/>
    <mergeCell ref="K16:K17"/>
    <mergeCell ref="W16:W17"/>
    <mergeCell ref="X16:X17"/>
    <mergeCell ref="B33:B34"/>
    <mergeCell ref="C33:C34"/>
    <mergeCell ref="G33:G34"/>
    <mergeCell ref="H33:H34"/>
    <mergeCell ref="I33:I34"/>
    <mergeCell ref="J33:J34"/>
    <mergeCell ref="K33:K34"/>
    <mergeCell ref="AB33:AB34"/>
    <mergeCell ref="AC33:AC34"/>
    <mergeCell ref="AD33:AD34"/>
    <mergeCell ref="AE33:AE34"/>
    <mergeCell ref="D33:F33"/>
    <mergeCell ref="L33:T33"/>
    <mergeCell ref="U33:U34"/>
    <mergeCell ref="V33:V34"/>
    <mergeCell ref="W33:Y34"/>
    <mergeCell ref="Z33:Z34"/>
    <mergeCell ref="AA33:AA34"/>
    <mergeCell ref="C1:T1"/>
    <mergeCell ref="B3:B4"/>
    <mergeCell ref="C3:C4"/>
    <mergeCell ref="D3:F3"/>
    <mergeCell ref="G3:G4"/>
    <mergeCell ref="H3:H4"/>
    <mergeCell ref="I3:I4"/>
    <mergeCell ref="AC3:AC4"/>
    <mergeCell ref="AD3:AD4"/>
    <mergeCell ref="AE3:AE4"/>
    <mergeCell ref="L3:T3"/>
    <mergeCell ref="U3:U4"/>
    <mergeCell ref="V3:V4"/>
    <mergeCell ref="W3:Y4"/>
    <mergeCell ref="Z3:Z4"/>
    <mergeCell ref="AA3:AA4"/>
    <mergeCell ref="AB3:AB4"/>
    <mergeCell ref="J3:J4"/>
    <mergeCell ref="K3:K4"/>
    <mergeCell ref="B5:B8"/>
    <mergeCell ref="C5:C8"/>
    <mergeCell ref="D5:D8"/>
    <mergeCell ref="E5:E8"/>
    <mergeCell ref="F5:F8"/>
    <mergeCell ref="K5:K8"/>
    <mergeCell ref="I5:I8"/>
    <mergeCell ref="J5:J8"/>
    <mergeCell ref="U5:U7"/>
    <mergeCell ref="V5:V7"/>
    <mergeCell ref="W5:W8"/>
    <mergeCell ref="X5:X8"/>
    <mergeCell ref="Y5:Y8"/>
    <mergeCell ref="G5:G8"/>
    <mergeCell ref="H5:H8"/>
    <mergeCell ref="B16:B17"/>
    <mergeCell ref="C16:C17"/>
    <mergeCell ref="D16:D17"/>
    <mergeCell ref="E16:E17"/>
    <mergeCell ref="F16:F17"/>
    <mergeCell ref="AB16:AB17"/>
    <mergeCell ref="AC16:AC17"/>
    <mergeCell ref="Z5:Z8"/>
    <mergeCell ref="AA5:AA8"/>
    <mergeCell ref="AB5:AB8"/>
    <mergeCell ref="AC5:AC8"/>
    <mergeCell ref="AD5:AD7"/>
    <mergeCell ref="AE5:AE7"/>
    <mergeCell ref="AA16:AA17"/>
  </mergeCells>
  <conditionalFormatting sqref="AB5:AE5 AB9:AE32 AB35:AE35 AB36:AC58 AD36:AE59">
    <cfRule type="cellIs" dxfId="0" priority="1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39.43"/>
    <col customWidth="1" min="4" max="4" width="8.71"/>
    <col customWidth="1" min="5" max="5" width="8.29"/>
    <col customWidth="1" min="6" max="6" width="6.86"/>
    <col customWidth="1" min="7" max="7" width="7.57"/>
    <col customWidth="1" min="8" max="8" width="6.86"/>
    <col customWidth="1" min="9" max="9" width="9.43"/>
    <col customWidth="1" min="10" max="10" width="7.71"/>
    <col customWidth="1" min="11" max="11" width="8.14"/>
    <col customWidth="1" min="12" max="20" width="5.71"/>
    <col customWidth="1" hidden="1" min="21" max="22" width="8.0"/>
    <col customWidth="1" min="23" max="23" width="8.86"/>
    <col customWidth="1" min="24" max="24" width="6.29"/>
    <col customWidth="1" min="25" max="26" width="4.71"/>
    <col customWidth="1" min="27" max="27" width="9.29"/>
    <col customWidth="1" min="28" max="28" width="15.14"/>
    <col customWidth="1" min="29" max="29" width="14.43"/>
    <col customWidth="1" min="30" max="30" width="11.43"/>
    <col customWidth="1" min="31" max="31" width="12.43"/>
  </cols>
  <sheetData>
    <row r="1">
      <c r="A1" s="1"/>
      <c r="B1" s="1"/>
      <c r="C1" s="2" t="s">
        <v>0</v>
      </c>
      <c r="W1" s="1"/>
      <c r="X1" s="1"/>
      <c r="Y1" s="1"/>
      <c r="Z1" s="1"/>
      <c r="AA1" s="1"/>
      <c r="AB1" s="1"/>
      <c r="AC1" s="1"/>
      <c r="AD1" s="1"/>
      <c r="AE1" s="1"/>
    </row>
    <row r="2" ht="15.0" customHeight="1">
      <c r="A2" s="1"/>
      <c r="B2" s="52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4"/>
      <c r="AD2" s="1"/>
      <c r="AE2" s="5" t="s">
        <v>2</v>
      </c>
    </row>
    <row r="3" ht="35.25" customHeight="1">
      <c r="A3" s="1"/>
      <c r="B3" s="6" t="s">
        <v>3</v>
      </c>
      <c r="C3" s="6" t="s">
        <v>4</v>
      </c>
      <c r="D3" s="7" t="s">
        <v>5</v>
      </c>
      <c r="E3" s="8"/>
      <c r="F3" s="9"/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8"/>
      <c r="N3" s="8"/>
      <c r="O3" s="8"/>
      <c r="P3" s="8"/>
      <c r="Q3" s="8"/>
      <c r="R3" s="8"/>
      <c r="S3" s="8"/>
      <c r="T3" s="10"/>
      <c r="U3" s="11" t="s">
        <v>12</v>
      </c>
      <c r="V3" s="11" t="s">
        <v>13</v>
      </c>
      <c r="W3" s="6" t="s">
        <v>15</v>
      </c>
      <c r="X3" s="12" t="s">
        <v>14</v>
      </c>
      <c r="Y3" s="13"/>
      <c r="Z3" s="14"/>
      <c r="AA3" s="6" t="s">
        <v>16</v>
      </c>
      <c r="AB3" s="6" t="s">
        <v>17</v>
      </c>
      <c r="AC3" s="6" t="s">
        <v>18</v>
      </c>
      <c r="AD3" s="6" t="s">
        <v>19</v>
      </c>
      <c r="AE3" s="6" t="s">
        <v>20</v>
      </c>
    </row>
    <row r="4" ht="33.0" customHeight="1">
      <c r="A4" s="1"/>
      <c r="B4" s="15"/>
      <c r="C4" s="15"/>
      <c r="D4" s="16" t="s">
        <v>21</v>
      </c>
      <c r="E4" s="16" t="s">
        <v>22</v>
      </c>
      <c r="F4" s="16" t="s">
        <v>23</v>
      </c>
      <c r="G4" s="15"/>
      <c r="H4" s="15"/>
      <c r="I4" s="15"/>
      <c r="J4" s="15"/>
      <c r="K4" s="15"/>
      <c r="L4" s="17">
        <v>1.0</v>
      </c>
      <c r="M4" s="17">
        <v>2.0</v>
      </c>
      <c r="N4" s="17">
        <v>3.0</v>
      </c>
      <c r="O4" s="17">
        <v>4.0</v>
      </c>
      <c r="P4" s="17">
        <v>5.0</v>
      </c>
      <c r="Q4" s="17">
        <v>6.0</v>
      </c>
      <c r="R4" s="17">
        <v>7.0</v>
      </c>
      <c r="S4" s="17">
        <v>8.0</v>
      </c>
      <c r="T4" s="17">
        <v>9.0</v>
      </c>
      <c r="U4" s="15"/>
      <c r="V4" s="15"/>
      <c r="W4" s="15"/>
      <c r="X4" s="18"/>
      <c r="Y4" s="19"/>
      <c r="Z4" s="20"/>
      <c r="AA4" s="15"/>
      <c r="AB4" s="15"/>
      <c r="AC4" s="15"/>
      <c r="AD4" s="15"/>
      <c r="AE4" s="15"/>
    </row>
    <row r="5" ht="24.0" customHeight="1">
      <c r="A5" s="1"/>
      <c r="B5" s="21">
        <v>1.0</v>
      </c>
      <c r="C5" s="22" t="s">
        <v>24</v>
      </c>
      <c r="D5" s="21">
        <v>58.0</v>
      </c>
      <c r="E5" s="21">
        <v>70.0</v>
      </c>
      <c r="F5" s="21">
        <v>4.25</v>
      </c>
      <c r="G5" s="21">
        <f>+(D5*E5)/(F5*(D5+E5))</f>
        <v>7.463235294</v>
      </c>
      <c r="H5" s="21">
        <v>4.0</v>
      </c>
      <c r="I5" s="21">
        <v>2.0</v>
      </c>
      <c r="J5" s="21">
        <f>+H5+I5</f>
        <v>6</v>
      </c>
      <c r="K5" s="21">
        <f>POWER(J5,2)</f>
        <v>36</v>
      </c>
      <c r="L5" s="23">
        <v>348.0</v>
      </c>
      <c r="M5" s="23">
        <v>259.0</v>
      </c>
      <c r="N5" s="23">
        <v>369.0</v>
      </c>
      <c r="O5" s="23">
        <v>453.0</v>
      </c>
      <c r="P5" s="23">
        <v>471.0</v>
      </c>
      <c r="Q5" s="23">
        <v>457.0</v>
      </c>
      <c r="R5" s="23">
        <v>397.0</v>
      </c>
      <c r="S5" s="23">
        <v>467.0</v>
      </c>
      <c r="T5" s="23">
        <v>458.0</v>
      </c>
      <c r="U5" s="24">
        <f>MAX(L5:T7)</f>
        <v>480</v>
      </c>
      <c r="V5" s="24">
        <f>MIN(L5:T7)</f>
        <v>259</v>
      </c>
      <c r="W5" s="55">
        <f>AVERAGE(L5:T8)</f>
        <v>394.9166667</v>
      </c>
      <c r="X5" s="21">
        <f>MIN(L5:T8)</f>
        <v>259</v>
      </c>
      <c r="Y5" s="21" t="str">
        <f>IF(X5&gt;Z5,"&gt;","&lt;")</f>
        <v>&gt;</v>
      </c>
      <c r="Z5" s="21">
        <f>+W5/2</f>
        <v>197.4583333</v>
      </c>
      <c r="AA5" s="21">
        <v>500.0</v>
      </c>
      <c r="AB5" s="26" t="str">
        <f>IF(X5&gt;Z5,"SI","NO")</f>
        <v>SI</v>
      </c>
      <c r="AC5" s="26" t="str">
        <f>IF(W5&gt;AA5,"SI","NO")</f>
        <v>NO</v>
      </c>
      <c r="AD5" s="27" t="str">
        <f>IF(AB5=AE$2,"1","0")</f>
        <v>0</v>
      </c>
      <c r="AE5" s="27" t="str">
        <f>IF(AC5=AE$2,"1","0")</f>
        <v>1</v>
      </c>
    </row>
    <row r="6" ht="24.0" customHeight="1">
      <c r="A6" s="1"/>
      <c r="B6" s="28"/>
      <c r="C6" s="28"/>
      <c r="D6" s="28"/>
      <c r="E6" s="28"/>
      <c r="F6" s="28"/>
      <c r="G6" s="28"/>
      <c r="H6" s="28"/>
      <c r="I6" s="28"/>
      <c r="J6" s="28"/>
      <c r="K6" s="28"/>
      <c r="L6" s="23">
        <v>352.0</v>
      </c>
      <c r="M6" s="23">
        <v>308.0</v>
      </c>
      <c r="N6" s="23">
        <v>354.0</v>
      </c>
      <c r="O6" s="23">
        <v>358.0</v>
      </c>
      <c r="P6" s="23">
        <v>377.0</v>
      </c>
      <c r="Q6" s="23">
        <v>477.0</v>
      </c>
      <c r="R6" s="23">
        <v>390.0</v>
      </c>
      <c r="S6" s="23">
        <v>385.0</v>
      </c>
      <c r="T6" s="23">
        <v>419.0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ht="24.0" customHeight="1">
      <c r="A7" s="1"/>
      <c r="B7" s="28"/>
      <c r="C7" s="28"/>
      <c r="D7" s="28"/>
      <c r="E7" s="28"/>
      <c r="F7" s="28"/>
      <c r="G7" s="28"/>
      <c r="H7" s="28"/>
      <c r="I7" s="28"/>
      <c r="J7" s="28"/>
      <c r="K7" s="28"/>
      <c r="L7" s="23">
        <v>374.0</v>
      </c>
      <c r="M7" s="23">
        <v>335.0</v>
      </c>
      <c r="N7" s="23">
        <v>418.0</v>
      </c>
      <c r="O7" s="23">
        <v>474.0</v>
      </c>
      <c r="P7" s="23">
        <v>480.0</v>
      </c>
      <c r="Q7" s="23">
        <v>449.0</v>
      </c>
      <c r="R7" s="23">
        <v>333.0</v>
      </c>
      <c r="S7" s="23">
        <v>410.0</v>
      </c>
      <c r="T7" s="23">
        <v>361.0</v>
      </c>
      <c r="U7" s="15"/>
      <c r="V7" s="15"/>
      <c r="W7" s="28"/>
      <c r="X7" s="28"/>
      <c r="Y7" s="28"/>
      <c r="Z7" s="28"/>
      <c r="AA7" s="28"/>
      <c r="AB7" s="28"/>
      <c r="AC7" s="28"/>
      <c r="AD7" s="15"/>
      <c r="AE7" s="15"/>
    </row>
    <row r="8" ht="24.0" customHeight="1">
      <c r="A8" s="1"/>
      <c r="B8" s="15"/>
      <c r="C8" s="15"/>
      <c r="D8" s="15"/>
      <c r="E8" s="15"/>
      <c r="F8" s="15"/>
      <c r="G8" s="15"/>
      <c r="H8" s="15"/>
      <c r="I8" s="15"/>
      <c r="J8" s="15"/>
      <c r="K8" s="15"/>
      <c r="L8" s="23">
        <v>441.0</v>
      </c>
      <c r="M8" s="23">
        <v>393.0</v>
      </c>
      <c r="N8" s="23">
        <v>387.0</v>
      </c>
      <c r="O8" s="23">
        <v>413.0</v>
      </c>
      <c r="P8" s="23">
        <v>296.0</v>
      </c>
      <c r="Q8" s="23">
        <v>362.0</v>
      </c>
      <c r="R8" s="23">
        <v>357.0</v>
      </c>
      <c r="S8" s="23">
        <v>420.0</v>
      </c>
      <c r="T8" s="23">
        <v>415.0</v>
      </c>
      <c r="U8" s="29"/>
      <c r="V8" s="29"/>
      <c r="W8" s="15"/>
      <c r="X8" s="15"/>
      <c r="Y8" s="15"/>
      <c r="Z8" s="15"/>
      <c r="AA8" s="15"/>
      <c r="AB8" s="15"/>
      <c r="AC8" s="15"/>
      <c r="AD8" s="30"/>
      <c r="AE8" s="30"/>
    </row>
    <row r="9" ht="24.0" customHeight="1">
      <c r="A9" s="1"/>
      <c r="B9" s="31">
        <v>2.0</v>
      </c>
      <c r="C9" s="32" t="s">
        <v>25</v>
      </c>
      <c r="D9" s="33">
        <v>5.05</v>
      </c>
      <c r="E9" s="33">
        <v>38.25</v>
      </c>
      <c r="F9" s="33">
        <v>4.25</v>
      </c>
      <c r="G9" s="34">
        <f t="shared" ref="G9:G10" si="1">+(D9*E9)/(F9*(D9+E9))</f>
        <v>1.04965358</v>
      </c>
      <c r="H9" s="33">
        <v>1.0</v>
      </c>
      <c r="I9" s="33">
        <v>2.0</v>
      </c>
      <c r="J9" s="33">
        <f t="shared" ref="J9:J10" si="2">+H9+I9</f>
        <v>3</v>
      </c>
      <c r="K9" s="33">
        <f t="shared" ref="K9:K10" si="3">POWER(J9,2)</f>
        <v>9</v>
      </c>
      <c r="L9" s="23">
        <v>567.0</v>
      </c>
      <c r="M9" s="23">
        <v>533.0</v>
      </c>
      <c r="N9" s="23">
        <v>552.0</v>
      </c>
      <c r="O9" s="23">
        <v>509.0</v>
      </c>
      <c r="P9" s="23">
        <v>516.0</v>
      </c>
      <c r="Q9" s="23">
        <v>540.0</v>
      </c>
      <c r="R9" s="23">
        <v>517.0</v>
      </c>
      <c r="S9" s="23">
        <v>550.0</v>
      </c>
      <c r="T9" s="23">
        <v>542.0</v>
      </c>
      <c r="U9" s="35">
        <f t="shared" ref="U9:U16" si="4">MAX(L9:T9)</f>
        <v>567</v>
      </c>
      <c r="V9" s="35">
        <f t="shared" ref="V9:V16" si="5">MIN(L9:T9)</f>
        <v>509</v>
      </c>
      <c r="W9" s="56">
        <f t="shared" ref="W9:W15" si="6">AVERAGE(L9:T9)</f>
        <v>536.2222222</v>
      </c>
      <c r="X9" s="36">
        <f t="shared" ref="X9:X15" si="7">MIN(L9:T9)</f>
        <v>509</v>
      </c>
      <c r="Y9" s="36" t="str">
        <f t="shared" ref="Y9:Y16" si="8">IF(X9&gt;Z9,"&gt;","&lt;")</f>
        <v>&gt;</v>
      </c>
      <c r="Z9" s="36">
        <f t="shared" ref="Z9:Z16" si="9">+W9/2</f>
        <v>268.1111111</v>
      </c>
      <c r="AA9" s="38">
        <v>500.0</v>
      </c>
      <c r="AB9" s="39" t="str">
        <f t="shared" ref="AB9:AB16" si="10">IF(X9&gt;Z9,"SI","NO")</f>
        <v>SI</v>
      </c>
      <c r="AC9" s="39" t="str">
        <f t="shared" ref="AC9:AC16" si="11">IF(W9&gt;AA9,"SI","NO")</f>
        <v>SI</v>
      </c>
      <c r="AD9" s="40" t="str">
        <f t="shared" ref="AD9:AD16" si="12">IF(AB9=AE$2,"1","0")</f>
        <v>0</v>
      </c>
      <c r="AE9" s="40" t="str">
        <f t="shared" ref="AE9:AE16" si="13">IF(AC9=AE$2,"1","0")</f>
        <v>0</v>
      </c>
    </row>
    <row r="10" ht="24.0" customHeight="1">
      <c r="A10" s="1"/>
      <c r="B10" s="33">
        <v>3.0</v>
      </c>
      <c r="C10" s="41" t="s">
        <v>26</v>
      </c>
      <c r="D10" s="33">
        <v>7.22</v>
      </c>
      <c r="E10" s="33">
        <v>2.39</v>
      </c>
      <c r="F10" s="33">
        <v>4.25</v>
      </c>
      <c r="G10" s="34">
        <f t="shared" si="1"/>
        <v>0.4224961743</v>
      </c>
      <c r="H10" s="33">
        <v>1.0</v>
      </c>
      <c r="I10" s="33">
        <v>2.0</v>
      </c>
      <c r="J10" s="33">
        <f t="shared" si="2"/>
        <v>3</v>
      </c>
      <c r="K10" s="33">
        <f t="shared" si="3"/>
        <v>9</v>
      </c>
      <c r="L10" s="23">
        <v>512.0</v>
      </c>
      <c r="M10" s="23">
        <v>550.0</v>
      </c>
      <c r="N10" s="23">
        <v>533.0</v>
      </c>
      <c r="O10" s="23">
        <v>502.0</v>
      </c>
      <c r="P10" s="23">
        <v>507.0</v>
      </c>
      <c r="Q10" s="23">
        <v>527.0</v>
      </c>
      <c r="R10" s="23">
        <v>519.0</v>
      </c>
      <c r="S10" s="23">
        <v>500.0</v>
      </c>
      <c r="T10" s="23">
        <v>543.0</v>
      </c>
      <c r="U10" s="35">
        <f t="shared" si="4"/>
        <v>550</v>
      </c>
      <c r="V10" s="35">
        <f t="shared" si="5"/>
        <v>500</v>
      </c>
      <c r="W10" s="56">
        <f t="shared" si="6"/>
        <v>521.4444444</v>
      </c>
      <c r="X10" s="36">
        <f t="shared" si="7"/>
        <v>500</v>
      </c>
      <c r="Y10" s="36" t="str">
        <f t="shared" si="8"/>
        <v>&gt;</v>
      </c>
      <c r="Z10" s="36">
        <f t="shared" si="9"/>
        <v>260.7222222</v>
      </c>
      <c r="AA10" s="42">
        <v>500.0</v>
      </c>
      <c r="AB10" s="39" t="str">
        <f t="shared" si="10"/>
        <v>SI</v>
      </c>
      <c r="AC10" s="39" t="str">
        <f t="shared" si="11"/>
        <v>SI</v>
      </c>
      <c r="AD10" s="40" t="str">
        <f t="shared" si="12"/>
        <v>0</v>
      </c>
      <c r="AE10" s="40" t="str">
        <f t="shared" si="13"/>
        <v>0</v>
      </c>
    </row>
    <row r="11" ht="24.0" customHeight="1">
      <c r="A11" s="1"/>
      <c r="B11" s="33">
        <v>4.0</v>
      </c>
      <c r="C11" s="41" t="s">
        <v>27</v>
      </c>
      <c r="D11" s="33" t="s">
        <v>28</v>
      </c>
      <c r="E11" s="33" t="s">
        <v>28</v>
      </c>
      <c r="F11" s="33" t="s">
        <v>28</v>
      </c>
      <c r="G11" s="33" t="s">
        <v>28</v>
      </c>
      <c r="H11" s="33" t="s">
        <v>28</v>
      </c>
      <c r="I11" s="33" t="s">
        <v>28</v>
      </c>
      <c r="J11" s="33" t="s">
        <v>28</v>
      </c>
      <c r="K11" s="33" t="s">
        <v>28</v>
      </c>
      <c r="L11" s="23">
        <v>147.0</v>
      </c>
      <c r="M11" s="23">
        <v>170.0</v>
      </c>
      <c r="N11" s="23">
        <v>185.0</v>
      </c>
      <c r="O11" s="33" t="s">
        <v>28</v>
      </c>
      <c r="P11" s="33" t="s">
        <v>28</v>
      </c>
      <c r="Q11" s="33" t="s">
        <v>28</v>
      </c>
      <c r="R11" s="33" t="s">
        <v>28</v>
      </c>
      <c r="S11" s="33" t="s">
        <v>28</v>
      </c>
      <c r="T11" s="33" t="s">
        <v>28</v>
      </c>
      <c r="U11" s="35">
        <f t="shared" si="4"/>
        <v>185</v>
      </c>
      <c r="V11" s="35">
        <f t="shared" si="5"/>
        <v>147</v>
      </c>
      <c r="W11" s="56">
        <f t="shared" si="6"/>
        <v>167.3333333</v>
      </c>
      <c r="X11" s="36">
        <f t="shared" si="7"/>
        <v>147</v>
      </c>
      <c r="Y11" s="36" t="str">
        <f t="shared" si="8"/>
        <v>&gt;</v>
      </c>
      <c r="Z11" s="36">
        <f t="shared" si="9"/>
        <v>83.66666667</v>
      </c>
      <c r="AA11" s="42">
        <v>100.0</v>
      </c>
      <c r="AB11" s="39" t="str">
        <f t="shared" si="10"/>
        <v>SI</v>
      </c>
      <c r="AC11" s="39" t="str">
        <f t="shared" si="11"/>
        <v>SI</v>
      </c>
      <c r="AD11" s="40" t="str">
        <f t="shared" si="12"/>
        <v>0</v>
      </c>
      <c r="AE11" s="40" t="str">
        <f t="shared" si="13"/>
        <v>0</v>
      </c>
    </row>
    <row r="12" ht="24.0" customHeight="1">
      <c r="A12" s="1"/>
      <c r="B12" s="31">
        <v>5.0</v>
      </c>
      <c r="C12" s="41" t="s">
        <v>29</v>
      </c>
      <c r="D12" s="33">
        <v>3.78</v>
      </c>
      <c r="E12" s="33">
        <v>3.66</v>
      </c>
      <c r="F12" s="33">
        <v>2.88</v>
      </c>
      <c r="G12" s="34">
        <f t="shared" ref="G12:G13" si="14">+(D12*E12)/(F12*(D12+E12))</f>
        <v>0.6456653226</v>
      </c>
      <c r="H12" s="33">
        <v>1.0</v>
      </c>
      <c r="I12" s="33">
        <v>2.0</v>
      </c>
      <c r="J12" s="33">
        <f t="shared" ref="J12:J13" si="15">+H12+I12</f>
        <v>3</v>
      </c>
      <c r="K12" s="33">
        <f t="shared" ref="K12:K13" si="16">POWER(J12,2)</f>
        <v>9</v>
      </c>
      <c r="L12" s="23">
        <v>133.0</v>
      </c>
      <c r="M12" s="23">
        <v>159.0</v>
      </c>
      <c r="N12" s="23">
        <v>161.0</v>
      </c>
      <c r="O12" s="23">
        <v>180.0</v>
      </c>
      <c r="P12" s="23">
        <v>181.0</v>
      </c>
      <c r="Q12" s="23">
        <v>191.0</v>
      </c>
      <c r="R12" s="23">
        <v>185.0</v>
      </c>
      <c r="S12" s="23">
        <v>153.0</v>
      </c>
      <c r="T12" s="23">
        <v>161.0</v>
      </c>
      <c r="U12" s="35">
        <f t="shared" si="4"/>
        <v>191</v>
      </c>
      <c r="V12" s="35">
        <f t="shared" si="5"/>
        <v>133</v>
      </c>
      <c r="W12" s="56">
        <f t="shared" si="6"/>
        <v>167.1111111</v>
      </c>
      <c r="X12" s="36">
        <f t="shared" si="7"/>
        <v>133</v>
      </c>
      <c r="Y12" s="36" t="str">
        <f t="shared" si="8"/>
        <v>&gt;</v>
      </c>
      <c r="Z12" s="36">
        <f t="shared" si="9"/>
        <v>83.55555556</v>
      </c>
      <c r="AA12" s="42">
        <v>100.0</v>
      </c>
      <c r="AB12" s="39" t="str">
        <f t="shared" si="10"/>
        <v>SI</v>
      </c>
      <c r="AC12" s="39" t="str">
        <f t="shared" si="11"/>
        <v>SI</v>
      </c>
      <c r="AD12" s="40" t="str">
        <f t="shared" si="12"/>
        <v>0</v>
      </c>
      <c r="AE12" s="40" t="str">
        <f t="shared" si="13"/>
        <v>0</v>
      </c>
    </row>
    <row r="13" ht="24.0" customHeight="1">
      <c r="A13" s="1"/>
      <c r="B13" s="33">
        <v>6.0</v>
      </c>
      <c r="C13" s="41" t="s">
        <v>30</v>
      </c>
      <c r="D13" s="33">
        <v>3.61</v>
      </c>
      <c r="E13" s="33">
        <v>6.15</v>
      </c>
      <c r="F13" s="33">
        <v>2.88</v>
      </c>
      <c r="G13" s="34">
        <f t="shared" si="14"/>
        <v>0.7898416154</v>
      </c>
      <c r="H13" s="33">
        <v>1.0</v>
      </c>
      <c r="I13" s="33">
        <v>2.0</v>
      </c>
      <c r="J13" s="33">
        <f t="shared" si="15"/>
        <v>3</v>
      </c>
      <c r="K13" s="33">
        <f t="shared" si="16"/>
        <v>9</v>
      </c>
      <c r="L13" s="23">
        <v>84.0</v>
      </c>
      <c r="M13" s="23">
        <v>96.0</v>
      </c>
      <c r="N13" s="23">
        <v>45.0</v>
      </c>
      <c r="O13" s="23">
        <v>144.0</v>
      </c>
      <c r="P13" s="23">
        <v>172.0</v>
      </c>
      <c r="Q13" s="23">
        <v>180.0</v>
      </c>
      <c r="R13" s="23">
        <v>149.0</v>
      </c>
      <c r="S13" s="23">
        <v>152.0</v>
      </c>
      <c r="T13" s="23">
        <v>150.0</v>
      </c>
      <c r="U13" s="35">
        <f t="shared" si="4"/>
        <v>180</v>
      </c>
      <c r="V13" s="35">
        <f t="shared" si="5"/>
        <v>45</v>
      </c>
      <c r="W13" s="56">
        <f t="shared" si="6"/>
        <v>130.2222222</v>
      </c>
      <c r="X13" s="36">
        <f t="shared" si="7"/>
        <v>45</v>
      </c>
      <c r="Y13" s="36" t="str">
        <f t="shared" si="8"/>
        <v>&lt;</v>
      </c>
      <c r="Z13" s="36">
        <f t="shared" si="9"/>
        <v>65.11111111</v>
      </c>
      <c r="AA13" s="42">
        <v>500.0</v>
      </c>
      <c r="AB13" s="39" t="str">
        <f t="shared" si="10"/>
        <v>NO</v>
      </c>
      <c r="AC13" s="39" t="str">
        <f t="shared" si="11"/>
        <v>NO</v>
      </c>
      <c r="AD13" s="40" t="str">
        <f t="shared" si="12"/>
        <v>1</v>
      </c>
      <c r="AE13" s="40" t="str">
        <f t="shared" si="13"/>
        <v>1</v>
      </c>
    </row>
    <row r="14" ht="24.0" customHeight="1">
      <c r="A14" s="1"/>
      <c r="B14" s="33">
        <v>7.0</v>
      </c>
      <c r="C14" s="41" t="s">
        <v>31</v>
      </c>
      <c r="D14" s="33" t="s">
        <v>28</v>
      </c>
      <c r="E14" s="33" t="s">
        <v>28</v>
      </c>
      <c r="F14" s="33" t="s">
        <v>28</v>
      </c>
      <c r="G14" s="43" t="s">
        <v>28</v>
      </c>
      <c r="H14" s="33" t="s">
        <v>28</v>
      </c>
      <c r="I14" s="33" t="s">
        <v>28</v>
      </c>
      <c r="J14" s="33" t="s">
        <v>28</v>
      </c>
      <c r="K14" s="33" t="s">
        <v>28</v>
      </c>
      <c r="L14" s="23">
        <v>33.0</v>
      </c>
      <c r="M14" s="23">
        <v>28.0</v>
      </c>
      <c r="N14" s="33" t="s">
        <v>28</v>
      </c>
      <c r="O14" s="33" t="s">
        <v>28</v>
      </c>
      <c r="P14" s="33" t="s">
        <v>28</v>
      </c>
      <c r="Q14" s="33" t="s">
        <v>28</v>
      </c>
      <c r="R14" s="33" t="s">
        <v>28</v>
      </c>
      <c r="S14" s="33" t="s">
        <v>28</v>
      </c>
      <c r="T14" s="33" t="s">
        <v>28</v>
      </c>
      <c r="U14" s="35">
        <f t="shared" si="4"/>
        <v>33</v>
      </c>
      <c r="V14" s="35">
        <f t="shared" si="5"/>
        <v>28</v>
      </c>
      <c r="W14" s="56">
        <f t="shared" si="6"/>
        <v>30.5</v>
      </c>
      <c r="X14" s="36">
        <f t="shared" si="7"/>
        <v>28</v>
      </c>
      <c r="Y14" s="36" t="str">
        <f t="shared" si="8"/>
        <v>&gt;</v>
      </c>
      <c r="Z14" s="36">
        <f t="shared" si="9"/>
        <v>15.25</v>
      </c>
      <c r="AA14" s="42">
        <v>100.0</v>
      </c>
      <c r="AB14" s="39" t="str">
        <f t="shared" si="10"/>
        <v>SI</v>
      </c>
      <c r="AC14" s="39" t="str">
        <f t="shared" si="11"/>
        <v>NO</v>
      </c>
      <c r="AD14" s="40" t="str">
        <f t="shared" si="12"/>
        <v>0</v>
      </c>
      <c r="AE14" s="40" t="str">
        <f t="shared" si="13"/>
        <v>1</v>
      </c>
    </row>
    <row r="15" ht="24.0" customHeight="1">
      <c r="A15" s="1"/>
      <c r="B15" s="31">
        <v>8.0</v>
      </c>
      <c r="C15" s="41" t="s">
        <v>32</v>
      </c>
      <c r="D15" s="33">
        <v>15.51</v>
      </c>
      <c r="E15" s="33">
        <v>5.08</v>
      </c>
      <c r="F15" s="33">
        <v>4.53</v>
      </c>
      <c r="G15" s="34">
        <f t="shared" ref="G15:G16" si="17">+(D15*E15)/(F15*(D15+E15))</f>
        <v>0.8447359195</v>
      </c>
      <c r="H15" s="33">
        <v>1.0</v>
      </c>
      <c r="I15" s="33">
        <v>2.0</v>
      </c>
      <c r="J15" s="33">
        <f t="shared" ref="J15:J16" si="18">+H15+I15</f>
        <v>3</v>
      </c>
      <c r="K15" s="33">
        <f t="shared" ref="K15:K16" si="19">POWER(J15,2)</f>
        <v>9</v>
      </c>
      <c r="L15" s="23">
        <v>207.0</v>
      </c>
      <c r="M15" s="23">
        <v>188.0</v>
      </c>
      <c r="N15" s="23">
        <v>184.0</v>
      </c>
      <c r="O15" s="23">
        <v>215.0</v>
      </c>
      <c r="P15" s="23">
        <v>196.0</v>
      </c>
      <c r="Q15" s="23">
        <v>225.0</v>
      </c>
      <c r="R15" s="23">
        <v>202.0</v>
      </c>
      <c r="S15" s="23">
        <v>196.0</v>
      </c>
      <c r="T15" s="23">
        <v>227.0</v>
      </c>
      <c r="U15" s="35">
        <f t="shared" si="4"/>
        <v>227</v>
      </c>
      <c r="V15" s="35">
        <f t="shared" si="5"/>
        <v>184</v>
      </c>
      <c r="W15" s="56">
        <f t="shared" si="6"/>
        <v>204.4444444</v>
      </c>
      <c r="X15" s="36">
        <f t="shared" si="7"/>
        <v>184</v>
      </c>
      <c r="Y15" s="36" t="str">
        <f t="shared" si="8"/>
        <v>&gt;</v>
      </c>
      <c r="Z15" s="36">
        <f t="shared" si="9"/>
        <v>102.2222222</v>
      </c>
      <c r="AA15" s="42">
        <v>200.0</v>
      </c>
      <c r="AB15" s="39" t="str">
        <f t="shared" si="10"/>
        <v>SI</v>
      </c>
      <c r="AC15" s="39" t="str">
        <f t="shared" si="11"/>
        <v>SI</v>
      </c>
      <c r="AD15" s="40" t="str">
        <f t="shared" si="12"/>
        <v>0</v>
      </c>
      <c r="AE15" s="40" t="str">
        <f t="shared" si="13"/>
        <v>0</v>
      </c>
    </row>
    <row r="16" ht="24.0" customHeight="1">
      <c r="A16" s="1"/>
      <c r="B16" s="21">
        <v>9.0</v>
      </c>
      <c r="C16" s="21" t="s">
        <v>33</v>
      </c>
      <c r="D16" s="21">
        <v>10.08</v>
      </c>
      <c r="E16" s="21">
        <v>14.52</v>
      </c>
      <c r="F16" s="21">
        <v>2.94</v>
      </c>
      <c r="G16" s="21">
        <f t="shared" si="17"/>
        <v>2.02369338</v>
      </c>
      <c r="H16" s="21">
        <v>2.0</v>
      </c>
      <c r="I16" s="21">
        <v>2.0</v>
      </c>
      <c r="J16" s="21">
        <f t="shared" si="18"/>
        <v>4</v>
      </c>
      <c r="K16" s="21">
        <f t="shared" si="19"/>
        <v>16</v>
      </c>
      <c r="L16" s="23">
        <v>132.0</v>
      </c>
      <c r="M16" s="23">
        <v>143.0</v>
      </c>
      <c r="N16" s="23">
        <v>171.0</v>
      </c>
      <c r="O16" s="23">
        <v>177.0</v>
      </c>
      <c r="P16" s="23">
        <v>157.0</v>
      </c>
      <c r="Q16" s="23">
        <v>173.0</v>
      </c>
      <c r="R16" s="23">
        <v>146.0</v>
      </c>
      <c r="S16" s="23">
        <v>140.0</v>
      </c>
      <c r="T16" s="23">
        <v>99.0</v>
      </c>
      <c r="U16" s="35">
        <f t="shared" si="4"/>
        <v>177</v>
      </c>
      <c r="V16" s="35">
        <f t="shared" si="5"/>
        <v>99</v>
      </c>
      <c r="W16" s="57">
        <f>AVERAGE(L16:T17)</f>
        <v>156.1875</v>
      </c>
      <c r="X16" s="25">
        <f>MIN(L16:T17)</f>
        <v>99</v>
      </c>
      <c r="Y16" s="25" t="str">
        <f t="shared" si="8"/>
        <v>&gt;</v>
      </c>
      <c r="Z16" s="25">
        <f t="shared" si="9"/>
        <v>78.09375</v>
      </c>
      <c r="AA16" s="25">
        <v>300.0</v>
      </c>
      <c r="AB16" s="26" t="str">
        <f t="shared" si="10"/>
        <v>SI</v>
      </c>
      <c r="AC16" s="26" t="str">
        <f t="shared" si="11"/>
        <v>NO</v>
      </c>
      <c r="AD16" s="40" t="str">
        <f t="shared" si="12"/>
        <v>0</v>
      </c>
      <c r="AE16" s="40" t="str">
        <f t="shared" si="13"/>
        <v>1</v>
      </c>
    </row>
    <row r="17" ht="24.0" customHeight="1">
      <c r="A17" s="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3">
        <v>175.0</v>
      </c>
      <c r="M17" s="23">
        <v>177.0</v>
      </c>
      <c r="N17" s="23">
        <v>170.0</v>
      </c>
      <c r="O17" s="23">
        <v>161.0</v>
      </c>
      <c r="P17" s="23">
        <v>189.0</v>
      </c>
      <c r="Q17" s="23">
        <v>150.0</v>
      </c>
      <c r="R17" s="23">
        <v>139.0</v>
      </c>
      <c r="S17" s="33" t="s">
        <v>28</v>
      </c>
      <c r="T17" s="33" t="s">
        <v>28</v>
      </c>
      <c r="U17" s="35"/>
      <c r="V17" s="35"/>
      <c r="W17" s="15"/>
      <c r="X17" s="15"/>
      <c r="Y17" s="15"/>
      <c r="Z17" s="15"/>
      <c r="AA17" s="15"/>
      <c r="AB17" s="15"/>
      <c r="AC17" s="15"/>
      <c r="AD17" s="40"/>
      <c r="AE17" s="40"/>
    </row>
    <row r="18" ht="24.0" customHeight="1">
      <c r="A18" s="1"/>
      <c r="B18" s="33">
        <v>10.0</v>
      </c>
      <c r="C18" s="41" t="s">
        <v>34</v>
      </c>
      <c r="D18" s="33">
        <v>3.83</v>
      </c>
      <c r="E18" s="33">
        <v>6.2</v>
      </c>
      <c r="F18" s="33">
        <v>2.94</v>
      </c>
      <c r="G18" s="34">
        <f t="shared" ref="G18:G30" si="20">+(D18*E18)/(F18*(D18+E18))</f>
        <v>0.805271261</v>
      </c>
      <c r="H18" s="33">
        <v>1.0</v>
      </c>
      <c r="I18" s="33">
        <v>2.0</v>
      </c>
      <c r="J18" s="33">
        <f t="shared" ref="J18:J30" si="21">+H18+I18</f>
        <v>3</v>
      </c>
      <c r="K18" s="33">
        <f t="shared" ref="K18:K30" si="22">POWER(J18,2)</f>
        <v>9</v>
      </c>
      <c r="L18" s="23">
        <v>60.0</v>
      </c>
      <c r="M18" s="23">
        <v>52.0</v>
      </c>
      <c r="N18" s="23">
        <v>110.0</v>
      </c>
      <c r="O18" s="33" t="s">
        <v>28</v>
      </c>
      <c r="P18" s="33" t="s">
        <v>28</v>
      </c>
      <c r="Q18" s="33" t="s">
        <v>28</v>
      </c>
      <c r="R18" s="33" t="s">
        <v>28</v>
      </c>
      <c r="S18" s="33" t="s">
        <v>28</v>
      </c>
      <c r="T18" s="33" t="s">
        <v>28</v>
      </c>
      <c r="U18" s="35">
        <f t="shared" ref="U18:U33" si="23">MAX(L18:T18)</f>
        <v>110</v>
      </c>
      <c r="V18" s="35">
        <f t="shared" ref="V18:V33" si="24">MIN(L18:T18)</f>
        <v>52</v>
      </c>
      <c r="W18" s="56">
        <f t="shared" ref="W18:W33" si="25">AVERAGE(L18:T18)</f>
        <v>74</v>
      </c>
      <c r="X18" s="36">
        <f t="shared" ref="X18:X33" si="26">MIN(L18:T18)</f>
        <v>52</v>
      </c>
      <c r="Y18" s="36" t="str">
        <f t="shared" ref="Y18:Y33" si="27">IF(X18&gt;Z18,"&gt;","&lt;")</f>
        <v>&gt;</v>
      </c>
      <c r="Z18" s="36">
        <f t="shared" ref="Z18:Z33" si="28">+W18/2</f>
        <v>37</v>
      </c>
      <c r="AA18" s="42">
        <v>100.0</v>
      </c>
      <c r="AB18" s="39" t="str">
        <f t="shared" ref="AB18:AB33" si="29">IF(X18&gt;Z18,"SI","NO")</f>
        <v>SI</v>
      </c>
      <c r="AC18" s="39" t="str">
        <f t="shared" ref="AC18:AC33" si="30">IF(W18&gt;AA18,"SI","NO")</f>
        <v>NO</v>
      </c>
      <c r="AD18" s="40" t="str">
        <f t="shared" ref="AD18:AD61" si="31">IF(AB18=AE$2,"1","0")</f>
        <v>0</v>
      </c>
      <c r="AE18" s="40" t="str">
        <f t="shared" ref="AE18:AE61" si="32">IF(AC18=AE$2,"1","0")</f>
        <v>1</v>
      </c>
    </row>
    <row r="19" ht="24.0" customHeight="1">
      <c r="A19" s="1"/>
      <c r="B19" s="31">
        <v>11.0</v>
      </c>
      <c r="C19" s="41" t="s">
        <v>35</v>
      </c>
      <c r="D19" s="33">
        <v>3.83</v>
      </c>
      <c r="E19" s="33">
        <v>4.03</v>
      </c>
      <c r="F19" s="33">
        <v>2.94</v>
      </c>
      <c r="G19" s="34">
        <f t="shared" si="20"/>
        <v>0.6679346039</v>
      </c>
      <c r="H19" s="33">
        <v>1.0</v>
      </c>
      <c r="I19" s="33">
        <v>2.0</v>
      </c>
      <c r="J19" s="33">
        <f t="shared" si="21"/>
        <v>3</v>
      </c>
      <c r="K19" s="33">
        <f t="shared" si="22"/>
        <v>9</v>
      </c>
      <c r="L19" s="23">
        <v>70.0</v>
      </c>
      <c r="M19" s="23">
        <v>72.0</v>
      </c>
      <c r="N19" s="23">
        <v>85.0</v>
      </c>
      <c r="O19" s="23">
        <v>67.0</v>
      </c>
      <c r="P19" s="23">
        <v>66.0</v>
      </c>
      <c r="Q19" s="23">
        <v>46.0</v>
      </c>
      <c r="R19" s="23">
        <v>72.0</v>
      </c>
      <c r="S19" s="23">
        <v>84.0</v>
      </c>
      <c r="T19" s="23">
        <v>81.0</v>
      </c>
      <c r="U19" s="35">
        <f t="shared" si="23"/>
        <v>85</v>
      </c>
      <c r="V19" s="35">
        <f t="shared" si="24"/>
        <v>46</v>
      </c>
      <c r="W19" s="56">
        <f t="shared" si="25"/>
        <v>71.44444444</v>
      </c>
      <c r="X19" s="36">
        <f t="shared" si="26"/>
        <v>46</v>
      </c>
      <c r="Y19" s="36" t="str">
        <f t="shared" si="27"/>
        <v>&gt;</v>
      </c>
      <c r="Z19" s="36">
        <f t="shared" si="28"/>
        <v>35.72222222</v>
      </c>
      <c r="AA19" s="42">
        <v>50.0</v>
      </c>
      <c r="AB19" s="39" t="str">
        <f t="shared" si="29"/>
        <v>SI</v>
      </c>
      <c r="AC19" s="39" t="str">
        <f t="shared" si="30"/>
        <v>SI</v>
      </c>
      <c r="AD19" s="40" t="str">
        <f t="shared" si="31"/>
        <v>0</v>
      </c>
      <c r="AE19" s="40" t="str">
        <f t="shared" si="32"/>
        <v>0</v>
      </c>
    </row>
    <row r="20" ht="24.0" customHeight="1">
      <c r="A20" s="1"/>
      <c r="B20" s="33">
        <v>12.0</v>
      </c>
      <c r="C20" s="41" t="s">
        <v>36</v>
      </c>
      <c r="D20" s="33">
        <v>2.97</v>
      </c>
      <c r="E20" s="33">
        <v>3.89</v>
      </c>
      <c r="F20" s="33">
        <v>2.94</v>
      </c>
      <c r="G20" s="34">
        <f t="shared" si="20"/>
        <v>0.5728416731</v>
      </c>
      <c r="H20" s="33">
        <v>1.0</v>
      </c>
      <c r="I20" s="33">
        <v>2.0</v>
      </c>
      <c r="J20" s="33">
        <f t="shared" si="21"/>
        <v>3</v>
      </c>
      <c r="K20" s="33">
        <f t="shared" si="22"/>
        <v>9</v>
      </c>
      <c r="L20" s="23">
        <v>123.0</v>
      </c>
      <c r="M20" s="23">
        <v>105.0</v>
      </c>
      <c r="N20" s="23">
        <v>124.0</v>
      </c>
      <c r="O20" s="23">
        <v>126.0</v>
      </c>
      <c r="P20" s="23">
        <v>138.0</v>
      </c>
      <c r="Q20" s="23">
        <v>112.0</v>
      </c>
      <c r="R20" s="23">
        <v>113.0</v>
      </c>
      <c r="S20" s="23">
        <v>93.0</v>
      </c>
      <c r="T20" s="23">
        <v>108.0</v>
      </c>
      <c r="U20" s="35">
        <f t="shared" si="23"/>
        <v>138</v>
      </c>
      <c r="V20" s="35">
        <f t="shared" si="24"/>
        <v>93</v>
      </c>
      <c r="W20" s="56">
        <f t="shared" si="25"/>
        <v>115.7777778</v>
      </c>
      <c r="X20" s="36">
        <f t="shared" si="26"/>
        <v>93</v>
      </c>
      <c r="Y20" s="36" t="str">
        <f t="shared" si="27"/>
        <v>&gt;</v>
      </c>
      <c r="Z20" s="36">
        <f t="shared" si="28"/>
        <v>57.88888889</v>
      </c>
      <c r="AA20" s="42">
        <v>50.0</v>
      </c>
      <c r="AB20" s="39" t="str">
        <f t="shared" si="29"/>
        <v>SI</v>
      </c>
      <c r="AC20" s="39" t="str">
        <f t="shared" si="30"/>
        <v>SI</v>
      </c>
      <c r="AD20" s="40" t="str">
        <f t="shared" si="31"/>
        <v>0</v>
      </c>
      <c r="AE20" s="40" t="str">
        <f t="shared" si="32"/>
        <v>0</v>
      </c>
    </row>
    <row r="21" ht="24.0" customHeight="1">
      <c r="A21" s="1"/>
      <c r="B21" s="33">
        <v>13.0</v>
      </c>
      <c r="C21" s="41" t="s">
        <v>37</v>
      </c>
      <c r="D21" s="33">
        <v>2.56</v>
      </c>
      <c r="E21" s="33">
        <v>3.05</v>
      </c>
      <c r="F21" s="33">
        <v>2.94</v>
      </c>
      <c r="G21" s="34">
        <f t="shared" si="20"/>
        <v>0.4734014818</v>
      </c>
      <c r="H21" s="33">
        <v>1.0</v>
      </c>
      <c r="I21" s="33">
        <v>2.0</v>
      </c>
      <c r="J21" s="33">
        <f t="shared" si="21"/>
        <v>3</v>
      </c>
      <c r="K21" s="33">
        <f t="shared" si="22"/>
        <v>9</v>
      </c>
      <c r="L21" s="23">
        <v>299.0</v>
      </c>
      <c r="M21" s="23">
        <v>300.0</v>
      </c>
      <c r="N21" s="23">
        <v>325.0</v>
      </c>
      <c r="O21" s="23">
        <v>321.0</v>
      </c>
      <c r="P21" s="23">
        <v>295.0</v>
      </c>
      <c r="Q21" s="23">
        <v>344.0</v>
      </c>
      <c r="R21" s="23">
        <v>341.0</v>
      </c>
      <c r="S21" s="23">
        <v>350.0</v>
      </c>
      <c r="T21" s="23">
        <v>332.0</v>
      </c>
      <c r="U21" s="35">
        <f t="shared" si="23"/>
        <v>350</v>
      </c>
      <c r="V21" s="35">
        <f t="shared" si="24"/>
        <v>295</v>
      </c>
      <c r="W21" s="56">
        <f t="shared" si="25"/>
        <v>323</v>
      </c>
      <c r="X21" s="36">
        <f t="shared" si="26"/>
        <v>295</v>
      </c>
      <c r="Y21" s="36" t="str">
        <f t="shared" si="27"/>
        <v>&gt;</v>
      </c>
      <c r="Z21" s="36">
        <f t="shared" si="28"/>
        <v>161.5</v>
      </c>
      <c r="AA21" s="42">
        <v>300.0</v>
      </c>
      <c r="AB21" s="39" t="str">
        <f t="shared" si="29"/>
        <v>SI</v>
      </c>
      <c r="AC21" s="39" t="str">
        <f t="shared" si="30"/>
        <v>SI</v>
      </c>
      <c r="AD21" s="40" t="str">
        <f t="shared" si="31"/>
        <v>0</v>
      </c>
      <c r="AE21" s="40" t="str">
        <f t="shared" si="32"/>
        <v>0</v>
      </c>
    </row>
    <row r="22" ht="24.0" customHeight="1">
      <c r="A22" s="1"/>
      <c r="B22" s="31">
        <v>14.0</v>
      </c>
      <c r="C22" s="41" t="s">
        <v>38</v>
      </c>
      <c r="D22" s="33">
        <v>4.23</v>
      </c>
      <c r="E22" s="33">
        <v>3.71</v>
      </c>
      <c r="F22" s="33">
        <v>2.94</v>
      </c>
      <c r="G22" s="34">
        <f t="shared" si="20"/>
        <v>0.6722741994</v>
      </c>
      <c r="H22" s="33">
        <v>1.0</v>
      </c>
      <c r="I22" s="33">
        <v>2.0</v>
      </c>
      <c r="J22" s="33">
        <f t="shared" si="21"/>
        <v>3</v>
      </c>
      <c r="K22" s="33">
        <f t="shared" si="22"/>
        <v>9</v>
      </c>
      <c r="L22" s="23">
        <v>120.0</v>
      </c>
      <c r="M22" s="23">
        <v>138.0</v>
      </c>
      <c r="N22" s="23">
        <v>186.0</v>
      </c>
      <c r="O22" s="23">
        <v>248.0</v>
      </c>
      <c r="P22" s="23">
        <v>221.0</v>
      </c>
      <c r="Q22" s="23">
        <v>141.0</v>
      </c>
      <c r="R22" s="23">
        <v>112.0</v>
      </c>
      <c r="S22" s="23">
        <v>123.0</v>
      </c>
      <c r="T22" s="23">
        <v>150.0</v>
      </c>
      <c r="U22" s="35">
        <f t="shared" si="23"/>
        <v>248</v>
      </c>
      <c r="V22" s="35">
        <f t="shared" si="24"/>
        <v>112</v>
      </c>
      <c r="W22" s="56">
        <f t="shared" si="25"/>
        <v>159.8888889</v>
      </c>
      <c r="X22" s="36">
        <f t="shared" si="26"/>
        <v>112</v>
      </c>
      <c r="Y22" s="36" t="str">
        <f t="shared" si="27"/>
        <v>&gt;</v>
      </c>
      <c r="Z22" s="36">
        <f t="shared" si="28"/>
        <v>79.94444444</v>
      </c>
      <c r="AA22" s="42">
        <v>300.0</v>
      </c>
      <c r="AB22" s="39" t="str">
        <f t="shared" si="29"/>
        <v>SI</v>
      </c>
      <c r="AC22" s="39" t="str">
        <f t="shared" si="30"/>
        <v>NO</v>
      </c>
      <c r="AD22" s="40" t="str">
        <f t="shared" si="31"/>
        <v>0</v>
      </c>
      <c r="AE22" s="40" t="str">
        <f t="shared" si="32"/>
        <v>1</v>
      </c>
    </row>
    <row r="23" ht="24.0" customHeight="1">
      <c r="A23" s="1"/>
      <c r="B23" s="33">
        <v>15.0</v>
      </c>
      <c r="C23" s="41" t="s">
        <v>39</v>
      </c>
      <c r="D23" s="33">
        <v>5.75</v>
      </c>
      <c r="E23" s="33">
        <v>2.79</v>
      </c>
      <c r="F23" s="33">
        <v>2.94</v>
      </c>
      <c r="G23" s="34">
        <f t="shared" si="20"/>
        <v>0.6389499594</v>
      </c>
      <c r="H23" s="33">
        <v>1.0</v>
      </c>
      <c r="I23" s="33">
        <v>2.0</v>
      </c>
      <c r="J23" s="33">
        <f t="shared" si="21"/>
        <v>3</v>
      </c>
      <c r="K23" s="33">
        <f t="shared" si="22"/>
        <v>9</v>
      </c>
      <c r="L23" s="23">
        <v>261.0</v>
      </c>
      <c r="M23" s="23">
        <v>256.0</v>
      </c>
      <c r="N23" s="23">
        <v>185.0</v>
      </c>
      <c r="O23" s="23">
        <v>220.0</v>
      </c>
      <c r="P23" s="23">
        <v>214.0</v>
      </c>
      <c r="Q23" s="23">
        <v>210.0</v>
      </c>
      <c r="R23" s="23">
        <v>184.0</v>
      </c>
      <c r="S23" s="23">
        <v>157.0</v>
      </c>
      <c r="T23" s="23">
        <v>215.0</v>
      </c>
      <c r="U23" s="35">
        <f t="shared" si="23"/>
        <v>261</v>
      </c>
      <c r="V23" s="35">
        <f t="shared" si="24"/>
        <v>157</v>
      </c>
      <c r="W23" s="56">
        <f t="shared" si="25"/>
        <v>211.3333333</v>
      </c>
      <c r="X23" s="36">
        <f t="shared" si="26"/>
        <v>157</v>
      </c>
      <c r="Y23" s="36" t="str">
        <f t="shared" si="27"/>
        <v>&gt;</v>
      </c>
      <c r="Z23" s="36">
        <f t="shared" si="28"/>
        <v>105.6666667</v>
      </c>
      <c r="AA23" s="42">
        <v>300.0</v>
      </c>
      <c r="AB23" s="39" t="str">
        <f t="shared" si="29"/>
        <v>SI</v>
      </c>
      <c r="AC23" s="39" t="str">
        <f t="shared" si="30"/>
        <v>NO</v>
      </c>
      <c r="AD23" s="40" t="str">
        <f t="shared" si="31"/>
        <v>0</v>
      </c>
      <c r="AE23" s="40" t="str">
        <f t="shared" si="32"/>
        <v>1</v>
      </c>
    </row>
    <row r="24" ht="24.0" customHeight="1">
      <c r="A24" s="1"/>
      <c r="B24" s="33">
        <v>16.0</v>
      </c>
      <c r="C24" s="41" t="s">
        <v>40</v>
      </c>
      <c r="D24" s="33">
        <v>3.97</v>
      </c>
      <c r="E24" s="33">
        <v>3.66</v>
      </c>
      <c r="F24" s="33">
        <v>2.94</v>
      </c>
      <c r="G24" s="34">
        <f t="shared" si="20"/>
        <v>0.6477385187</v>
      </c>
      <c r="H24" s="33">
        <v>1.0</v>
      </c>
      <c r="I24" s="33">
        <v>2.0</v>
      </c>
      <c r="J24" s="33">
        <f t="shared" si="21"/>
        <v>3</v>
      </c>
      <c r="K24" s="33">
        <f t="shared" si="22"/>
        <v>9</v>
      </c>
      <c r="L24" s="23">
        <v>178.0</v>
      </c>
      <c r="M24" s="23">
        <v>182.0</v>
      </c>
      <c r="N24" s="23">
        <v>171.0</v>
      </c>
      <c r="O24" s="23">
        <v>238.0</v>
      </c>
      <c r="P24" s="23">
        <v>263.0</v>
      </c>
      <c r="Q24" s="23">
        <v>280.0</v>
      </c>
      <c r="R24" s="23">
        <v>213.0</v>
      </c>
      <c r="S24" s="23">
        <v>185.0</v>
      </c>
      <c r="T24" s="23">
        <v>343.0</v>
      </c>
      <c r="U24" s="35">
        <f t="shared" si="23"/>
        <v>343</v>
      </c>
      <c r="V24" s="35">
        <f t="shared" si="24"/>
        <v>171</v>
      </c>
      <c r="W24" s="56">
        <f t="shared" si="25"/>
        <v>228.1111111</v>
      </c>
      <c r="X24" s="36">
        <f t="shared" si="26"/>
        <v>171</v>
      </c>
      <c r="Y24" s="36" t="str">
        <f t="shared" si="27"/>
        <v>&gt;</v>
      </c>
      <c r="Z24" s="36">
        <f t="shared" si="28"/>
        <v>114.0555556</v>
      </c>
      <c r="AA24" s="42">
        <v>50.0</v>
      </c>
      <c r="AB24" s="39" t="str">
        <f t="shared" si="29"/>
        <v>SI</v>
      </c>
      <c r="AC24" s="39" t="str">
        <f t="shared" si="30"/>
        <v>SI</v>
      </c>
      <c r="AD24" s="40" t="str">
        <f t="shared" si="31"/>
        <v>0</v>
      </c>
      <c r="AE24" s="40" t="str">
        <f t="shared" si="32"/>
        <v>0</v>
      </c>
    </row>
    <row r="25" ht="24.0" customHeight="1">
      <c r="A25" s="1"/>
      <c r="B25" s="31">
        <v>17.0</v>
      </c>
      <c r="C25" s="41" t="s">
        <v>41</v>
      </c>
      <c r="D25" s="33">
        <v>7.11</v>
      </c>
      <c r="E25" s="33">
        <v>3.53</v>
      </c>
      <c r="F25" s="33">
        <v>2.94</v>
      </c>
      <c r="G25" s="34">
        <f t="shared" si="20"/>
        <v>0.8023342796</v>
      </c>
      <c r="H25" s="33">
        <v>1.0</v>
      </c>
      <c r="I25" s="33">
        <v>2.0</v>
      </c>
      <c r="J25" s="33">
        <f t="shared" si="21"/>
        <v>3</v>
      </c>
      <c r="K25" s="33">
        <f t="shared" si="22"/>
        <v>9</v>
      </c>
      <c r="L25" s="23">
        <v>213.0</v>
      </c>
      <c r="M25" s="23">
        <v>220.0</v>
      </c>
      <c r="N25" s="23">
        <v>231.0</v>
      </c>
      <c r="O25" s="23">
        <v>330.0</v>
      </c>
      <c r="P25" s="23">
        <v>339.0</v>
      </c>
      <c r="Q25" s="23">
        <v>173.0</v>
      </c>
      <c r="R25" s="23">
        <v>125.0</v>
      </c>
      <c r="S25" s="23">
        <v>159.0</v>
      </c>
      <c r="T25" s="23">
        <v>166.0</v>
      </c>
      <c r="U25" s="35">
        <f t="shared" si="23"/>
        <v>339</v>
      </c>
      <c r="V25" s="35">
        <f t="shared" si="24"/>
        <v>125</v>
      </c>
      <c r="W25" s="56">
        <f t="shared" si="25"/>
        <v>217.3333333</v>
      </c>
      <c r="X25" s="36">
        <f t="shared" si="26"/>
        <v>125</v>
      </c>
      <c r="Y25" s="36" t="str">
        <f t="shared" si="27"/>
        <v>&gt;</v>
      </c>
      <c r="Z25" s="36">
        <f t="shared" si="28"/>
        <v>108.6666667</v>
      </c>
      <c r="AA25" s="42">
        <v>50.0</v>
      </c>
      <c r="AB25" s="39" t="str">
        <f t="shared" si="29"/>
        <v>SI</v>
      </c>
      <c r="AC25" s="39" t="str">
        <f t="shared" si="30"/>
        <v>SI</v>
      </c>
      <c r="AD25" s="40" t="str">
        <f t="shared" si="31"/>
        <v>0</v>
      </c>
      <c r="AE25" s="40" t="str">
        <f t="shared" si="32"/>
        <v>0</v>
      </c>
    </row>
    <row r="26" ht="24.0" customHeight="1">
      <c r="A26" s="1"/>
      <c r="B26" s="33">
        <v>18.0</v>
      </c>
      <c r="C26" s="41" t="s">
        <v>42</v>
      </c>
      <c r="D26" s="33">
        <v>4.12</v>
      </c>
      <c r="E26" s="33">
        <v>3.32</v>
      </c>
      <c r="F26" s="33">
        <v>2.94</v>
      </c>
      <c r="G26" s="34">
        <f t="shared" si="20"/>
        <v>0.6253383074</v>
      </c>
      <c r="H26" s="33">
        <v>1.0</v>
      </c>
      <c r="I26" s="33">
        <v>2.0</v>
      </c>
      <c r="J26" s="33">
        <f t="shared" si="21"/>
        <v>3</v>
      </c>
      <c r="K26" s="33">
        <f t="shared" si="22"/>
        <v>9</v>
      </c>
      <c r="L26" s="23">
        <v>21.0</v>
      </c>
      <c r="M26" s="23">
        <v>19.0</v>
      </c>
      <c r="N26" s="23">
        <v>23.0</v>
      </c>
      <c r="O26" s="23">
        <v>14.0</v>
      </c>
      <c r="P26" s="23">
        <v>20.0</v>
      </c>
      <c r="Q26" s="23">
        <v>20.0</v>
      </c>
      <c r="R26" s="23">
        <v>22.0</v>
      </c>
      <c r="S26" s="23">
        <v>21.0</v>
      </c>
      <c r="T26" s="23">
        <v>18.0</v>
      </c>
      <c r="U26" s="35">
        <f t="shared" si="23"/>
        <v>23</v>
      </c>
      <c r="V26" s="35">
        <f t="shared" si="24"/>
        <v>14</v>
      </c>
      <c r="W26" s="56">
        <f t="shared" si="25"/>
        <v>19.77777778</v>
      </c>
      <c r="X26" s="36">
        <f t="shared" si="26"/>
        <v>14</v>
      </c>
      <c r="Y26" s="36" t="str">
        <f t="shared" si="27"/>
        <v>&gt;</v>
      </c>
      <c r="Z26" s="36">
        <f t="shared" si="28"/>
        <v>9.888888889</v>
      </c>
      <c r="AA26" s="42">
        <v>50.0</v>
      </c>
      <c r="AB26" s="39" t="str">
        <f t="shared" si="29"/>
        <v>SI</v>
      </c>
      <c r="AC26" s="39" t="str">
        <f t="shared" si="30"/>
        <v>NO</v>
      </c>
      <c r="AD26" s="40" t="str">
        <f t="shared" si="31"/>
        <v>0</v>
      </c>
      <c r="AE26" s="40" t="str">
        <f t="shared" si="32"/>
        <v>1</v>
      </c>
    </row>
    <row r="27" ht="24.0" customHeight="1">
      <c r="A27" s="1"/>
      <c r="B27" s="33">
        <v>19.0</v>
      </c>
      <c r="C27" s="41" t="s">
        <v>43</v>
      </c>
      <c r="D27" s="33">
        <v>3.1</v>
      </c>
      <c r="E27" s="33">
        <v>9.06</v>
      </c>
      <c r="F27" s="33">
        <v>2.94</v>
      </c>
      <c r="G27" s="34">
        <f t="shared" si="20"/>
        <v>0.7856135875</v>
      </c>
      <c r="H27" s="33">
        <v>1.0</v>
      </c>
      <c r="I27" s="33">
        <v>2.0</v>
      </c>
      <c r="J27" s="33">
        <f t="shared" si="21"/>
        <v>3</v>
      </c>
      <c r="K27" s="33">
        <f t="shared" si="22"/>
        <v>9</v>
      </c>
      <c r="L27" s="23">
        <v>35.0</v>
      </c>
      <c r="M27" s="23">
        <v>33.0</v>
      </c>
      <c r="N27" s="23">
        <v>24.0</v>
      </c>
      <c r="O27" s="23">
        <v>42.0</v>
      </c>
      <c r="P27" s="23">
        <v>35.0</v>
      </c>
      <c r="Q27" s="23">
        <v>29.0</v>
      </c>
      <c r="R27" s="23">
        <v>35.0</v>
      </c>
      <c r="S27" s="23">
        <v>40.0</v>
      </c>
      <c r="T27" s="23">
        <v>39.0</v>
      </c>
      <c r="U27" s="35">
        <f t="shared" si="23"/>
        <v>42</v>
      </c>
      <c r="V27" s="35">
        <f t="shared" si="24"/>
        <v>24</v>
      </c>
      <c r="W27" s="56">
        <f t="shared" si="25"/>
        <v>34.66666667</v>
      </c>
      <c r="X27" s="36">
        <f t="shared" si="26"/>
        <v>24</v>
      </c>
      <c r="Y27" s="36" t="str">
        <f t="shared" si="27"/>
        <v>&gt;</v>
      </c>
      <c r="Z27" s="36">
        <f t="shared" si="28"/>
        <v>17.33333333</v>
      </c>
      <c r="AA27" s="42">
        <v>50.0</v>
      </c>
      <c r="AB27" s="39" t="str">
        <f t="shared" si="29"/>
        <v>SI</v>
      </c>
      <c r="AC27" s="39" t="str">
        <f t="shared" si="30"/>
        <v>NO</v>
      </c>
      <c r="AD27" s="40" t="str">
        <f t="shared" si="31"/>
        <v>0</v>
      </c>
      <c r="AE27" s="40" t="str">
        <f t="shared" si="32"/>
        <v>1</v>
      </c>
    </row>
    <row r="28" ht="24.0" customHeight="1">
      <c r="A28" s="1"/>
      <c r="B28" s="31">
        <v>20.0</v>
      </c>
      <c r="C28" s="41" t="s">
        <v>44</v>
      </c>
      <c r="D28" s="33">
        <v>3.03</v>
      </c>
      <c r="E28" s="33">
        <v>20.87</v>
      </c>
      <c r="F28" s="33">
        <v>2.94</v>
      </c>
      <c r="G28" s="34">
        <f t="shared" si="20"/>
        <v>0.8999530356</v>
      </c>
      <c r="H28" s="33">
        <v>1.0</v>
      </c>
      <c r="I28" s="33">
        <v>2.0</v>
      </c>
      <c r="J28" s="33">
        <f t="shared" si="21"/>
        <v>3</v>
      </c>
      <c r="K28" s="33">
        <f t="shared" si="22"/>
        <v>9</v>
      </c>
      <c r="L28" s="23">
        <v>78.0</v>
      </c>
      <c r="M28" s="23">
        <v>57.0</v>
      </c>
      <c r="N28" s="23">
        <v>99.0</v>
      </c>
      <c r="O28" s="23">
        <v>248.0</v>
      </c>
      <c r="P28" s="23">
        <v>339.0</v>
      </c>
      <c r="Q28" s="23">
        <v>266.0</v>
      </c>
      <c r="R28" s="23">
        <v>168.0</v>
      </c>
      <c r="S28" s="23">
        <v>51.0</v>
      </c>
      <c r="T28" s="23">
        <v>83.0</v>
      </c>
      <c r="U28" s="35">
        <f t="shared" si="23"/>
        <v>339</v>
      </c>
      <c r="V28" s="35">
        <f t="shared" si="24"/>
        <v>51</v>
      </c>
      <c r="W28" s="56">
        <f t="shared" si="25"/>
        <v>154.3333333</v>
      </c>
      <c r="X28" s="36">
        <f t="shared" si="26"/>
        <v>51</v>
      </c>
      <c r="Y28" s="36" t="str">
        <f t="shared" si="27"/>
        <v>&lt;</v>
      </c>
      <c r="Z28" s="36">
        <f t="shared" si="28"/>
        <v>77.16666667</v>
      </c>
      <c r="AA28" s="42">
        <v>50.0</v>
      </c>
      <c r="AB28" s="39" t="str">
        <f t="shared" si="29"/>
        <v>NO</v>
      </c>
      <c r="AC28" s="39" t="str">
        <f t="shared" si="30"/>
        <v>SI</v>
      </c>
      <c r="AD28" s="40" t="str">
        <f t="shared" si="31"/>
        <v>1</v>
      </c>
      <c r="AE28" s="40" t="str">
        <f t="shared" si="32"/>
        <v>0</v>
      </c>
    </row>
    <row r="29" ht="24.0" customHeight="1">
      <c r="A29" s="1"/>
      <c r="B29" s="33">
        <v>21.0</v>
      </c>
      <c r="C29" s="41" t="s">
        <v>45</v>
      </c>
      <c r="D29" s="33">
        <v>4.22</v>
      </c>
      <c r="E29" s="33">
        <v>5.55</v>
      </c>
      <c r="F29" s="33">
        <v>2.94</v>
      </c>
      <c r="G29" s="34">
        <f t="shared" si="20"/>
        <v>0.8153865436</v>
      </c>
      <c r="H29" s="33">
        <v>1.0</v>
      </c>
      <c r="I29" s="33">
        <v>2.0</v>
      </c>
      <c r="J29" s="33">
        <f t="shared" si="21"/>
        <v>3</v>
      </c>
      <c r="K29" s="33">
        <f t="shared" si="22"/>
        <v>9</v>
      </c>
      <c r="L29" s="23">
        <v>180.0</v>
      </c>
      <c r="M29" s="23">
        <v>173.0</v>
      </c>
      <c r="N29" s="23">
        <v>193.0</v>
      </c>
      <c r="O29" s="23">
        <v>159.0</v>
      </c>
      <c r="P29" s="23">
        <v>174.0</v>
      </c>
      <c r="Q29" s="23">
        <v>171.0</v>
      </c>
      <c r="R29" s="23">
        <v>166.0</v>
      </c>
      <c r="S29" s="23">
        <v>169.0</v>
      </c>
      <c r="T29" s="23">
        <v>176.0</v>
      </c>
      <c r="U29" s="35">
        <f t="shared" si="23"/>
        <v>193</v>
      </c>
      <c r="V29" s="35">
        <f t="shared" si="24"/>
        <v>159</v>
      </c>
      <c r="W29" s="56">
        <f t="shared" si="25"/>
        <v>173.4444444</v>
      </c>
      <c r="X29" s="36">
        <f t="shared" si="26"/>
        <v>159</v>
      </c>
      <c r="Y29" s="36" t="str">
        <f t="shared" si="27"/>
        <v>&gt;</v>
      </c>
      <c r="Z29" s="36">
        <f t="shared" si="28"/>
        <v>86.72222222</v>
      </c>
      <c r="AA29" s="42">
        <v>50.0</v>
      </c>
      <c r="AB29" s="39" t="str">
        <f t="shared" si="29"/>
        <v>SI</v>
      </c>
      <c r="AC29" s="39" t="str">
        <f t="shared" si="30"/>
        <v>SI</v>
      </c>
      <c r="AD29" s="40" t="str">
        <f t="shared" si="31"/>
        <v>0</v>
      </c>
      <c r="AE29" s="40" t="str">
        <f t="shared" si="32"/>
        <v>0</v>
      </c>
    </row>
    <row r="30" ht="24.0" hidden="1" customHeight="1">
      <c r="A30" s="1"/>
      <c r="B30" s="33">
        <v>22.0</v>
      </c>
      <c r="C30" s="41" t="s">
        <v>46</v>
      </c>
      <c r="D30" s="33">
        <v>4.98</v>
      </c>
      <c r="E30" s="33">
        <v>8.2</v>
      </c>
      <c r="F30" s="33">
        <v>2.94</v>
      </c>
      <c r="G30" s="34">
        <f t="shared" si="20"/>
        <v>1.053854015</v>
      </c>
      <c r="H30" s="33">
        <v>1.0</v>
      </c>
      <c r="I30" s="33">
        <v>2.0</v>
      </c>
      <c r="J30" s="33">
        <f t="shared" si="21"/>
        <v>3</v>
      </c>
      <c r="K30" s="33">
        <f t="shared" si="22"/>
        <v>9</v>
      </c>
      <c r="L30" s="23"/>
      <c r="M30" s="23"/>
      <c r="N30" s="23"/>
      <c r="O30" s="23"/>
      <c r="P30" s="23"/>
      <c r="Q30" s="23"/>
      <c r="R30" s="23"/>
      <c r="S30" s="23"/>
      <c r="T30" s="23"/>
      <c r="U30" s="35">
        <f t="shared" si="23"/>
        <v>0</v>
      </c>
      <c r="V30" s="35">
        <f t="shared" si="24"/>
        <v>0</v>
      </c>
      <c r="W30" s="56" t="str">
        <f t="shared" si="25"/>
        <v>#DIV/0!</v>
      </c>
      <c r="X30" s="36">
        <f t="shared" si="26"/>
        <v>0</v>
      </c>
      <c r="Y30" s="36" t="str">
        <f t="shared" si="27"/>
        <v>#DIV/0!</v>
      </c>
      <c r="Z30" s="36" t="str">
        <f t="shared" si="28"/>
        <v>#DIV/0!</v>
      </c>
      <c r="AA30" s="42">
        <v>300.0</v>
      </c>
      <c r="AB30" s="39" t="str">
        <f t="shared" si="29"/>
        <v>#DIV/0!</v>
      </c>
      <c r="AC30" s="39" t="str">
        <f t="shared" si="30"/>
        <v>#DIV/0!</v>
      </c>
      <c r="AD30" s="40" t="str">
        <f t="shared" si="31"/>
        <v>#DIV/0!</v>
      </c>
      <c r="AE30" s="40" t="str">
        <f t="shared" si="32"/>
        <v>#DIV/0!</v>
      </c>
    </row>
    <row r="31" ht="24.0" customHeight="1">
      <c r="A31" s="1"/>
      <c r="B31" s="31">
        <v>23.0</v>
      </c>
      <c r="C31" s="41" t="s">
        <v>47</v>
      </c>
      <c r="D31" s="33" t="s">
        <v>28</v>
      </c>
      <c r="E31" s="33" t="s">
        <v>28</v>
      </c>
      <c r="F31" s="33" t="s">
        <v>28</v>
      </c>
      <c r="G31" s="43" t="s">
        <v>28</v>
      </c>
      <c r="H31" s="33" t="s">
        <v>28</v>
      </c>
      <c r="I31" s="33" t="s">
        <v>28</v>
      </c>
      <c r="J31" s="33" t="s">
        <v>28</v>
      </c>
      <c r="K31" s="33" t="s">
        <v>28</v>
      </c>
      <c r="L31" s="23">
        <v>101.0</v>
      </c>
      <c r="M31" s="23">
        <v>91.0</v>
      </c>
      <c r="N31" s="33" t="s">
        <v>28</v>
      </c>
      <c r="O31" s="33" t="s">
        <v>28</v>
      </c>
      <c r="P31" s="33" t="s">
        <v>28</v>
      </c>
      <c r="Q31" s="33" t="s">
        <v>28</v>
      </c>
      <c r="R31" s="33" t="s">
        <v>28</v>
      </c>
      <c r="S31" s="33" t="s">
        <v>28</v>
      </c>
      <c r="T31" s="33" t="s">
        <v>28</v>
      </c>
      <c r="U31" s="35">
        <f t="shared" si="23"/>
        <v>101</v>
      </c>
      <c r="V31" s="35">
        <f t="shared" si="24"/>
        <v>91</v>
      </c>
      <c r="W31" s="56">
        <f t="shared" si="25"/>
        <v>96</v>
      </c>
      <c r="X31" s="36">
        <f t="shared" si="26"/>
        <v>91</v>
      </c>
      <c r="Y31" s="36" t="str">
        <f t="shared" si="27"/>
        <v>&gt;</v>
      </c>
      <c r="Z31" s="36">
        <f t="shared" si="28"/>
        <v>48</v>
      </c>
      <c r="AA31" s="42">
        <v>300.0</v>
      </c>
      <c r="AB31" s="39" t="str">
        <f t="shared" si="29"/>
        <v>SI</v>
      </c>
      <c r="AC31" s="39" t="str">
        <f t="shared" si="30"/>
        <v>NO</v>
      </c>
      <c r="AD31" s="40" t="str">
        <f t="shared" si="31"/>
        <v>0</v>
      </c>
      <c r="AE31" s="40" t="str">
        <f t="shared" si="32"/>
        <v>1</v>
      </c>
    </row>
    <row r="32" ht="24.0" customHeight="1">
      <c r="A32" s="1"/>
      <c r="B32" s="33">
        <v>24.0</v>
      </c>
      <c r="C32" s="41" t="s">
        <v>48</v>
      </c>
      <c r="D32" s="33" t="s">
        <v>28</v>
      </c>
      <c r="E32" s="33" t="s">
        <v>28</v>
      </c>
      <c r="F32" s="33" t="s">
        <v>28</v>
      </c>
      <c r="G32" s="33" t="s">
        <v>28</v>
      </c>
      <c r="H32" s="33" t="s">
        <v>28</v>
      </c>
      <c r="I32" s="33" t="s">
        <v>28</v>
      </c>
      <c r="J32" s="33" t="s">
        <v>28</v>
      </c>
      <c r="K32" s="33" t="s">
        <v>28</v>
      </c>
      <c r="L32" s="23">
        <v>111.0</v>
      </c>
      <c r="M32" s="23">
        <v>121.0</v>
      </c>
      <c r="N32" s="33" t="s">
        <v>28</v>
      </c>
      <c r="O32" s="33" t="s">
        <v>28</v>
      </c>
      <c r="P32" s="33" t="s">
        <v>28</v>
      </c>
      <c r="Q32" s="33" t="s">
        <v>28</v>
      </c>
      <c r="R32" s="33" t="s">
        <v>28</v>
      </c>
      <c r="S32" s="33" t="s">
        <v>28</v>
      </c>
      <c r="T32" s="33" t="s">
        <v>28</v>
      </c>
      <c r="U32" s="35">
        <f t="shared" si="23"/>
        <v>121</v>
      </c>
      <c r="V32" s="35">
        <f t="shared" si="24"/>
        <v>111</v>
      </c>
      <c r="W32" s="56">
        <f t="shared" si="25"/>
        <v>116</v>
      </c>
      <c r="X32" s="36">
        <f t="shared" si="26"/>
        <v>111</v>
      </c>
      <c r="Y32" s="36" t="str">
        <f t="shared" si="27"/>
        <v>&gt;</v>
      </c>
      <c r="Z32" s="36">
        <f t="shared" si="28"/>
        <v>58</v>
      </c>
      <c r="AA32" s="42">
        <v>100.0</v>
      </c>
      <c r="AB32" s="39" t="str">
        <f t="shared" si="29"/>
        <v>SI</v>
      </c>
      <c r="AC32" s="39" t="str">
        <f t="shared" si="30"/>
        <v>SI</v>
      </c>
      <c r="AD32" s="40" t="str">
        <f t="shared" si="31"/>
        <v>0</v>
      </c>
      <c r="AE32" s="40" t="str">
        <f t="shared" si="32"/>
        <v>0</v>
      </c>
    </row>
    <row r="33" ht="24.0" customHeight="1">
      <c r="A33" s="1"/>
      <c r="B33" s="33">
        <v>25.0</v>
      </c>
      <c r="C33" s="41" t="s">
        <v>49</v>
      </c>
      <c r="D33" s="33" t="s">
        <v>28</v>
      </c>
      <c r="E33" s="33" t="s">
        <v>28</v>
      </c>
      <c r="F33" s="33" t="s">
        <v>28</v>
      </c>
      <c r="G33" s="33" t="s">
        <v>28</v>
      </c>
      <c r="H33" s="33" t="s">
        <v>28</v>
      </c>
      <c r="I33" s="33" t="s">
        <v>28</v>
      </c>
      <c r="J33" s="33" t="s">
        <v>28</v>
      </c>
      <c r="K33" s="33" t="s">
        <v>28</v>
      </c>
      <c r="L33" s="23">
        <v>118.0</v>
      </c>
      <c r="M33" s="23">
        <v>104.0</v>
      </c>
      <c r="N33" s="33" t="s">
        <v>28</v>
      </c>
      <c r="O33" s="33" t="s">
        <v>28</v>
      </c>
      <c r="P33" s="33" t="s">
        <v>28</v>
      </c>
      <c r="Q33" s="33" t="s">
        <v>28</v>
      </c>
      <c r="R33" s="33" t="s">
        <v>28</v>
      </c>
      <c r="S33" s="33" t="s">
        <v>28</v>
      </c>
      <c r="T33" s="33" t="s">
        <v>28</v>
      </c>
      <c r="U33" s="35">
        <f t="shared" si="23"/>
        <v>118</v>
      </c>
      <c r="V33" s="35">
        <f t="shared" si="24"/>
        <v>104</v>
      </c>
      <c r="W33" s="56">
        <f t="shared" si="25"/>
        <v>111</v>
      </c>
      <c r="X33" s="36">
        <f t="shared" si="26"/>
        <v>104</v>
      </c>
      <c r="Y33" s="36" t="str">
        <f t="shared" si="27"/>
        <v>&gt;</v>
      </c>
      <c r="Z33" s="36">
        <f t="shared" si="28"/>
        <v>55.5</v>
      </c>
      <c r="AA33" s="42">
        <v>100.0</v>
      </c>
      <c r="AB33" s="39" t="str">
        <f t="shared" si="29"/>
        <v>SI</v>
      </c>
      <c r="AC33" s="39" t="str">
        <f t="shared" si="30"/>
        <v>SI</v>
      </c>
      <c r="AD33" s="40" t="str">
        <f t="shared" si="31"/>
        <v>0</v>
      </c>
      <c r="AE33" s="40" t="str">
        <f t="shared" si="32"/>
        <v>0</v>
      </c>
    </row>
    <row r="34" ht="24.0" customHeight="1">
      <c r="A34" s="1"/>
      <c r="B34" s="58" t="s">
        <v>87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0"/>
      <c r="AD34" s="40" t="str">
        <f t="shared" si="31"/>
        <v>0</v>
      </c>
      <c r="AE34" s="40" t="str">
        <f t="shared" si="32"/>
        <v>0</v>
      </c>
    </row>
    <row r="35" ht="37.5" customHeight="1">
      <c r="A35" s="1"/>
      <c r="B35" s="6" t="s">
        <v>3</v>
      </c>
      <c r="C35" s="6" t="s">
        <v>4</v>
      </c>
      <c r="D35" s="7" t="s">
        <v>5</v>
      </c>
      <c r="E35" s="8"/>
      <c r="F35" s="9"/>
      <c r="G35" s="6" t="s">
        <v>6</v>
      </c>
      <c r="H35" s="6" t="s">
        <v>7</v>
      </c>
      <c r="I35" s="6" t="s">
        <v>8</v>
      </c>
      <c r="J35" s="6" t="s">
        <v>9</v>
      </c>
      <c r="K35" s="6" t="s">
        <v>10</v>
      </c>
      <c r="L35" s="7" t="s">
        <v>11</v>
      </c>
      <c r="M35" s="8"/>
      <c r="N35" s="8"/>
      <c r="O35" s="8"/>
      <c r="P35" s="8"/>
      <c r="Q35" s="8"/>
      <c r="R35" s="8"/>
      <c r="S35" s="8"/>
      <c r="T35" s="10"/>
      <c r="U35" s="11" t="s">
        <v>12</v>
      </c>
      <c r="V35" s="11" t="s">
        <v>13</v>
      </c>
      <c r="W35" s="6" t="s">
        <v>15</v>
      </c>
      <c r="X35" s="12" t="s">
        <v>14</v>
      </c>
      <c r="Y35" s="13"/>
      <c r="Z35" s="14"/>
      <c r="AA35" s="6" t="s">
        <v>16</v>
      </c>
      <c r="AB35" s="6" t="s">
        <v>17</v>
      </c>
      <c r="AC35" s="6" t="s">
        <v>18</v>
      </c>
      <c r="AD35" s="40" t="str">
        <f t="shared" si="31"/>
        <v>0</v>
      </c>
      <c r="AE35" s="40" t="str">
        <f t="shared" si="32"/>
        <v>0</v>
      </c>
    </row>
    <row r="36" ht="24.0" customHeight="1">
      <c r="A36" s="1"/>
      <c r="B36" s="15"/>
      <c r="C36" s="15"/>
      <c r="D36" s="16" t="s">
        <v>21</v>
      </c>
      <c r="E36" s="16" t="s">
        <v>22</v>
      </c>
      <c r="F36" s="16" t="s">
        <v>23</v>
      </c>
      <c r="G36" s="15"/>
      <c r="H36" s="15"/>
      <c r="I36" s="15"/>
      <c r="J36" s="15"/>
      <c r="K36" s="15"/>
      <c r="L36" s="17">
        <v>1.0</v>
      </c>
      <c r="M36" s="17">
        <v>2.0</v>
      </c>
      <c r="N36" s="17">
        <v>3.0</v>
      </c>
      <c r="O36" s="17">
        <v>4.0</v>
      </c>
      <c r="P36" s="17">
        <v>5.0</v>
      </c>
      <c r="Q36" s="17">
        <v>6.0</v>
      </c>
      <c r="R36" s="17">
        <v>7.0</v>
      </c>
      <c r="S36" s="17">
        <v>8.0</v>
      </c>
      <c r="T36" s="17">
        <v>9.0</v>
      </c>
      <c r="U36" s="15"/>
      <c r="V36" s="15"/>
      <c r="W36" s="15"/>
      <c r="X36" s="18"/>
      <c r="Y36" s="19"/>
      <c r="Z36" s="20"/>
      <c r="AA36" s="15"/>
      <c r="AB36" s="15"/>
      <c r="AC36" s="15"/>
      <c r="AD36" s="40" t="str">
        <f t="shared" si="31"/>
        <v>0</v>
      </c>
      <c r="AE36" s="40" t="str">
        <f t="shared" si="32"/>
        <v>0</v>
      </c>
    </row>
    <row r="37" ht="24.0" customHeight="1">
      <c r="A37" s="1"/>
      <c r="B37" s="31">
        <v>26.0</v>
      </c>
      <c r="C37" s="44" t="s">
        <v>50</v>
      </c>
      <c r="D37" s="33" t="s">
        <v>28</v>
      </c>
      <c r="E37" s="33" t="s">
        <v>28</v>
      </c>
      <c r="F37" s="33" t="s">
        <v>28</v>
      </c>
      <c r="G37" s="33" t="s">
        <v>28</v>
      </c>
      <c r="H37" s="33" t="s">
        <v>28</v>
      </c>
      <c r="I37" s="33" t="s">
        <v>28</v>
      </c>
      <c r="J37" s="33" t="s">
        <v>28</v>
      </c>
      <c r="K37" s="33" t="s">
        <v>28</v>
      </c>
      <c r="L37" s="23">
        <v>70.0</v>
      </c>
      <c r="M37" s="23">
        <v>68.0</v>
      </c>
      <c r="N37" s="33" t="s">
        <v>28</v>
      </c>
      <c r="O37" s="33" t="s">
        <v>28</v>
      </c>
      <c r="P37" s="33" t="s">
        <v>28</v>
      </c>
      <c r="Q37" s="33" t="s">
        <v>28</v>
      </c>
      <c r="R37" s="33" t="s">
        <v>28</v>
      </c>
      <c r="S37" s="33" t="s">
        <v>28</v>
      </c>
      <c r="T37" s="33" t="s">
        <v>28</v>
      </c>
      <c r="U37" s="35">
        <f t="shared" ref="U37:U54" si="33">MAX(L37:T37)</f>
        <v>70</v>
      </c>
      <c r="V37" s="35">
        <f t="shared" ref="V37:V54" si="34">MIN(L37:T37)</f>
        <v>68</v>
      </c>
      <c r="W37" s="56">
        <f t="shared" ref="W37:W61" si="35">AVERAGE(L37:T37)</f>
        <v>69</v>
      </c>
      <c r="X37" s="36">
        <f t="shared" ref="X37:X61" si="36">MIN(L37:T37)</f>
        <v>68</v>
      </c>
      <c r="Y37" s="36" t="str">
        <f t="shared" ref="Y37:Y61" si="37">IF(X37&gt;Z37,"&gt;","&lt;")</f>
        <v>&gt;</v>
      </c>
      <c r="Z37" s="36">
        <f t="shared" ref="Z37:Z61" si="38">+W37/2</f>
        <v>34.5</v>
      </c>
      <c r="AA37" s="42">
        <v>100.0</v>
      </c>
      <c r="AB37" s="39" t="str">
        <f t="shared" ref="AB37:AB61" si="39">IF(X37&gt;Z37,"SI","NO")</f>
        <v>SI</v>
      </c>
      <c r="AC37" s="39" t="str">
        <f t="shared" ref="AC37:AC61" si="40">IF(W37&gt;AA37,"SI","NO")</f>
        <v>NO</v>
      </c>
      <c r="AD37" s="40" t="str">
        <f t="shared" si="31"/>
        <v>0</v>
      </c>
      <c r="AE37" s="40" t="str">
        <f t="shared" si="32"/>
        <v>1</v>
      </c>
    </row>
    <row r="38" ht="24.0" customHeight="1">
      <c r="A38" s="1"/>
      <c r="B38" s="33">
        <v>27.0</v>
      </c>
      <c r="C38" s="44" t="s">
        <v>51</v>
      </c>
      <c r="D38" s="33" t="s">
        <v>28</v>
      </c>
      <c r="E38" s="33" t="s">
        <v>28</v>
      </c>
      <c r="F38" s="33" t="s">
        <v>28</v>
      </c>
      <c r="G38" s="33" t="s">
        <v>28</v>
      </c>
      <c r="H38" s="33" t="s">
        <v>28</v>
      </c>
      <c r="I38" s="33" t="s">
        <v>28</v>
      </c>
      <c r="J38" s="33" t="s">
        <v>28</v>
      </c>
      <c r="K38" s="33" t="s">
        <v>28</v>
      </c>
      <c r="L38" s="23">
        <v>529.0</v>
      </c>
      <c r="M38" s="23">
        <v>540.0</v>
      </c>
      <c r="N38" s="33" t="s">
        <v>28</v>
      </c>
      <c r="O38" s="33" t="s">
        <v>28</v>
      </c>
      <c r="P38" s="33" t="s">
        <v>28</v>
      </c>
      <c r="Q38" s="33" t="s">
        <v>28</v>
      </c>
      <c r="R38" s="33" t="s">
        <v>28</v>
      </c>
      <c r="S38" s="33" t="s">
        <v>28</v>
      </c>
      <c r="T38" s="33" t="s">
        <v>28</v>
      </c>
      <c r="U38" s="35">
        <f t="shared" si="33"/>
        <v>540</v>
      </c>
      <c r="V38" s="35">
        <f t="shared" si="34"/>
        <v>529</v>
      </c>
      <c r="W38" s="56">
        <f t="shared" si="35"/>
        <v>534.5</v>
      </c>
      <c r="X38" s="36">
        <f t="shared" si="36"/>
        <v>529</v>
      </c>
      <c r="Y38" s="36" t="str">
        <f t="shared" si="37"/>
        <v>&gt;</v>
      </c>
      <c r="Z38" s="36">
        <f t="shared" si="38"/>
        <v>267.25</v>
      </c>
      <c r="AA38" s="42">
        <v>100.0</v>
      </c>
      <c r="AB38" s="39" t="str">
        <f t="shared" si="39"/>
        <v>SI</v>
      </c>
      <c r="AC38" s="39" t="str">
        <f t="shared" si="40"/>
        <v>SI</v>
      </c>
      <c r="AD38" s="40" t="str">
        <f t="shared" si="31"/>
        <v>0</v>
      </c>
      <c r="AE38" s="40" t="str">
        <f t="shared" si="32"/>
        <v>0</v>
      </c>
    </row>
    <row r="39" ht="24.0" customHeight="1">
      <c r="A39" s="1"/>
      <c r="B39" s="33">
        <v>28.0</v>
      </c>
      <c r="C39" s="41" t="s">
        <v>52</v>
      </c>
      <c r="D39" s="33" t="s">
        <v>28</v>
      </c>
      <c r="E39" s="33" t="s">
        <v>28</v>
      </c>
      <c r="F39" s="33" t="s">
        <v>28</v>
      </c>
      <c r="G39" s="33" t="s">
        <v>28</v>
      </c>
      <c r="H39" s="33" t="s">
        <v>28</v>
      </c>
      <c r="I39" s="33" t="s">
        <v>28</v>
      </c>
      <c r="J39" s="33" t="s">
        <v>28</v>
      </c>
      <c r="K39" s="33" t="s">
        <v>28</v>
      </c>
      <c r="L39" s="23">
        <v>520.0</v>
      </c>
      <c r="M39" s="23">
        <v>558.0</v>
      </c>
      <c r="N39" s="33" t="s">
        <v>28</v>
      </c>
      <c r="O39" s="33" t="s">
        <v>28</v>
      </c>
      <c r="P39" s="33" t="s">
        <v>28</v>
      </c>
      <c r="Q39" s="33" t="s">
        <v>28</v>
      </c>
      <c r="R39" s="33" t="s">
        <v>28</v>
      </c>
      <c r="S39" s="33" t="s">
        <v>28</v>
      </c>
      <c r="T39" s="33" t="s">
        <v>28</v>
      </c>
      <c r="U39" s="35">
        <f t="shared" si="33"/>
        <v>558</v>
      </c>
      <c r="V39" s="35">
        <f t="shared" si="34"/>
        <v>520</v>
      </c>
      <c r="W39" s="56">
        <f t="shared" si="35"/>
        <v>539</v>
      </c>
      <c r="X39" s="36">
        <f t="shared" si="36"/>
        <v>520</v>
      </c>
      <c r="Y39" s="36" t="str">
        <f t="shared" si="37"/>
        <v>&gt;</v>
      </c>
      <c r="Z39" s="36">
        <f t="shared" si="38"/>
        <v>269.5</v>
      </c>
      <c r="AA39" s="42">
        <v>100.0</v>
      </c>
      <c r="AB39" s="39" t="str">
        <f t="shared" si="39"/>
        <v>SI</v>
      </c>
      <c r="AC39" s="39" t="str">
        <f t="shared" si="40"/>
        <v>SI</v>
      </c>
      <c r="AD39" s="40" t="str">
        <f t="shared" si="31"/>
        <v>0</v>
      </c>
      <c r="AE39" s="40" t="str">
        <f t="shared" si="32"/>
        <v>0</v>
      </c>
    </row>
    <row r="40" ht="24.0" customHeight="1">
      <c r="A40" s="1"/>
      <c r="B40" s="31">
        <v>29.0</v>
      </c>
      <c r="C40" s="41" t="s">
        <v>53</v>
      </c>
      <c r="D40" s="33">
        <v>2.6</v>
      </c>
      <c r="E40" s="33">
        <v>2.33</v>
      </c>
      <c r="F40" s="33">
        <v>2.7</v>
      </c>
      <c r="G40" s="34">
        <f t="shared" ref="G40:G46" si="41">+(D40*E40)/(F40*(D40+E40))</f>
        <v>0.4551123131</v>
      </c>
      <c r="H40" s="33">
        <v>1.0</v>
      </c>
      <c r="I40" s="33">
        <v>2.0</v>
      </c>
      <c r="J40" s="33">
        <f t="shared" ref="J40:J46" si="42">+H40+I40</f>
        <v>3</v>
      </c>
      <c r="K40" s="33">
        <f t="shared" ref="K40:K46" si="43">POWER(J40,2)</f>
        <v>9</v>
      </c>
      <c r="L40" s="23">
        <v>170.0</v>
      </c>
      <c r="M40" s="23">
        <v>188.0</v>
      </c>
      <c r="N40" s="23">
        <v>200.0</v>
      </c>
      <c r="O40" s="23">
        <v>193.0</v>
      </c>
      <c r="P40" s="23">
        <v>202.0</v>
      </c>
      <c r="Q40" s="23">
        <v>182.0</v>
      </c>
      <c r="R40" s="23">
        <v>143.0</v>
      </c>
      <c r="S40" s="23">
        <v>148.0</v>
      </c>
      <c r="T40" s="23">
        <v>179.0</v>
      </c>
      <c r="U40" s="35">
        <f t="shared" si="33"/>
        <v>202</v>
      </c>
      <c r="V40" s="35">
        <f t="shared" si="34"/>
        <v>143</v>
      </c>
      <c r="W40" s="56">
        <f t="shared" si="35"/>
        <v>178.3333333</v>
      </c>
      <c r="X40" s="36">
        <f t="shared" si="36"/>
        <v>143</v>
      </c>
      <c r="Y40" s="36" t="str">
        <f t="shared" si="37"/>
        <v>&gt;</v>
      </c>
      <c r="Z40" s="36">
        <f t="shared" si="38"/>
        <v>89.16666667</v>
      </c>
      <c r="AA40" s="42">
        <v>300.0</v>
      </c>
      <c r="AB40" s="39" t="str">
        <f t="shared" si="39"/>
        <v>SI</v>
      </c>
      <c r="AC40" s="39" t="str">
        <f t="shared" si="40"/>
        <v>NO</v>
      </c>
      <c r="AD40" s="40" t="str">
        <f t="shared" si="31"/>
        <v>0</v>
      </c>
      <c r="AE40" s="40" t="str">
        <f t="shared" si="32"/>
        <v>1</v>
      </c>
    </row>
    <row r="41" ht="24.0" customHeight="1">
      <c r="A41" s="1"/>
      <c r="B41" s="33">
        <v>30.0</v>
      </c>
      <c r="C41" s="41" t="s">
        <v>54</v>
      </c>
      <c r="D41" s="33">
        <v>2.61</v>
      </c>
      <c r="E41" s="33">
        <v>4.71</v>
      </c>
      <c r="F41" s="33">
        <v>2.7</v>
      </c>
      <c r="G41" s="34">
        <f t="shared" si="41"/>
        <v>0.6219945355</v>
      </c>
      <c r="H41" s="33">
        <v>1.0</v>
      </c>
      <c r="I41" s="33">
        <v>2.0</v>
      </c>
      <c r="J41" s="33">
        <f t="shared" si="42"/>
        <v>3</v>
      </c>
      <c r="K41" s="33">
        <f t="shared" si="43"/>
        <v>9</v>
      </c>
      <c r="L41" s="23">
        <v>114.0</v>
      </c>
      <c r="M41" s="23">
        <v>120.0</v>
      </c>
      <c r="N41" s="23">
        <v>135.0</v>
      </c>
      <c r="O41" s="23">
        <v>146.0</v>
      </c>
      <c r="P41" s="23">
        <v>167.0</v>
      </c>
      <c r="Q41" s="23">
        <v>145.0</v>
      </c>
      <c r="R41" s="23">
        <v>132.0</v>
      </c>
      <c r="S41" s="23">
        <v>125.0</v>
      </c>
      <c r="T41" s="23">
        <v>147.0</v>
      </c>
      <c r="U41" s="35">
        <f t="shared" si="33"/>
        <v>167</v>
      </c>
      <c r="V41" s="35">
        <f t="shared" si="34"/>
        <v>114</v>
      </c>
      <c r="W41" s="56">
        <f t="shared" si="35"/>
        <v>136.7777778</v>
      </c>
      <c r="X41" s="36">
        <f t="shared" si="36"/>
        <v>114</v>
      </c>
      <c r="Y41" s="36" t="str">
        <f t="shared" si="37"/>
        <v>&gt;</v>
      </c>
      <c r="Z41" s="36">
        <f t="shared" si="38"/>
        <v>68.38888889</v>
      </c>
      <c r="AA41" s="42">
        <v>300.0</v>
      </c>
      <c r="AB41" s="39" t="str">
        <f t="shared" si="39"/>
        <v>SI</v>
      </c>
      <c r="AC41" s="39" t="str">
        <f t="shared" si="40"/>
        <v>NO</v>
      </c>
      <c r="AD41" s="40" t="str">
        <f t="shared" si="31"/>
        <v>0</v>
      </c>
      <c r="AE41" s="40" t="str">
        <f t="shared" si="32"/>
        <v>1</v>
      </c>
    </row>
    <row r="42" ht="24.0" customHeight="1">
      <c r="A42" s="1"/>
      <c r="B42" s="33">
        <v>31.0</v>
      </c>
      <c r="C42" s="41" t="s">
        <v>55</v>
      </c>
      <c r="D42" s="33">
        <v>2.35</v>
      </c>
      <c r="E42" s="33">
        <v>2.8</v>
      </c>
      <c r="F42" s="33">
        <v>2.7</v>
      </c>
      <c r="G42" s="34">
        <f t="shared" si="41"/>
        <v>0.4732110752</v>
      </c>
      <c r="H42" s="33">
        <v>1.0</v>
      </c>
      <c r="I42" s="33">
        <v>2.0</v>
      </c>
      <c r="J42" s="33">
        <f t="shared" si="42"/>
        <v>3</v>
      </c>
      <c r="K42" s="33">
        <f t="shared" si="43"/>
        <v>9</v>
      </c>
      <c r="L42" s="23">
        <v>158.0</v>
      </c>
      <c r="M42" s="23">
        <v>163.0</v>
      </c>
      <c r="N42" s="23">
        <v>192.0</v>
      </c>
      <c r="O42" s="23">
        <v>195.0</v>
      </c>
      <c r="P42" s="23">
        <v>144.0</v>
      </c>
      <c r="Q42" s="23">
        <v>139.0</v>
      </c>
      <c r="R42" s="23">
        <v>173.0</v>
      </c>
      <c r="S42" s="23">
        <v>170.0</v>
      </c>
      <c r="T42" s="23">
        <v>162.0</v>
      </c>
      <c r="U42" s="35">
        <f t="shared" si="33"/>
        <v>195</v>
      </c>
      <c r="V42" s="35">
        <f t="shared" si="34"/>
        <v>139</v>
      </c>
      <c r="W42" s="56">
        <f t="shared" si="35"/>
        <v>166.2222222</v>
      </c>
      <c r="X42" s="36">
        <f t="shared" si="36"/>
        <v>139</v>
      </c>
      <c r="Y42" s="36" t="str">
        <f t="shared" si="37"/>
        <v>&gt;</v>
      </c>
      <c r="Z42" s="36">
        <f t="shared" si="38"/>
        <v>83.11111111</v>
      </c>
      <c r="AA42" s="42">
        <v>300.0</v>
      </c>
      <c r="AB42" s="39" t="str">
        <f t="shared" si="39"/>
        <v>SI</v>
      </c>
      <c r="AC42" s="39" t="str">
        <f t="shared" si="40"/>
        <v>NO</v>
      </c>
      <c r="AD42" s="40" t="str">
        <f t="shared" si="31"/>
        <v>0</v>
      </c>
      <c r="AE42" s="40" t="str">
        <f t="shared" si="32"/>
        <v>1</v>
      </c>
    </row>
    <row r="43" ht="24.0" customHeight="1">
      <c r="A43" s="1"/>
      <c r="B43" s="31">
        <v>32.0</v>
      </c>
      <c r="C43" s="41" t="s">
        <v>56</v>
      </c>
      <c r="D43" s="33">
        <v>4.1</v>
      </c>
      <c r="E43" s="33">
        <v>7.16</v>
      </c>
      <c r="F43" s="33">
        <v>2.7</v>
      </c>
      <c r="G43" s="34">
        <f t="shared" si="41"/>
        <v>0.9655943688</v>
      </c>
      <c r="H43" s="33">
        <v>1.0</v>
      </c>
      <c r="I43" s="33">
        <v>2.0</v>
      </c>
      <c r="J43" s="33">
        <f t="shared" si="42"/>
        <v>3</v>
      </c>
      <c r="K43" s="33">
        <f t="shared" si="43"/>
        <v>9</v>
      </c>
      <c r="L43" s="23">
        <v>117.0</v>
      </c>
      <c r="M43" s="23">
        <v>133.0</v>
      </c>
      <c r="N43" s="23">
        <v>178.0</v>
      </c>
      <c r="O43" s="23">
        <v>156.0</v>
      </c>
      <c r="P43" s="23">
        <v>163.0</v>
      </c>
      <c r="Q43" s="23">
        <v>139.0</v>
      </c>
      <c r="R43" s="23">
        <v>146.0</v>
      </c>
      <c r="S43" s="23">
        <v>147.0</v>
      </c>
      <c r="T43" s="23">
        <v>105.0</v>
      </c>
      <c r="U43" s="35">
        <f t="shared" si="33"/>
        <v>178</v>
      </c>
      <c r="V43" s="35">
        <f t="shared" si="34"/>
        <v>105</v>
      </c>
      <c r="W43" s="56">
        <f t="shared" si="35"/>
        <v>142.6666667</v>
      </c>
      <c r="X43" s="36">
        <f t="shared" si="36"/>
        <v>105</v>
      </c>
      <c r="Y43" s="36" t="str">
        <f t="shared" si="37"/>
        <v>&gt;</v>
      </c>
      <c r="Z43" s="36">
        <f t="shared" si="38"/>
        <v>71.33333333</v>
      </c>
      <c r="AA43" s="42">
        <v>300.0</v>
      </c>
      <c r="AB43" s="39" t="str">
        <f t="shared" si="39"/>
        <v>SI</v>
      </c>
      <c r="AC43" s="39" t="str">
        <f t="shared" si="40"/>
        <v>NO</v>
      </c>
      <c r="AD43" s="40" t="str">
        <f t="shared" si="31"/>
        <v>0</v>
      </c>
      <c r="AE43" s="40" t="str">
        <f t="shared" si="32"/>
        <v>1</v>
      </c>
    </row>
    <row r="44" ht="24.0" customHeight="1">
      <c r="A44" s="1"/>
      <c r="B44" s="33">
        <v>33.0</v>
      </c>
      <c r="C44" s="41" t="s">
        <v>57</v>
      </c>
      <c r="D44" s="42">
        <v>4.04</v>
      </c>
      <c r="E44" s="42">
        <v>3.05</v>
      </c>
      <c r="F44" s="42">
        <v>2.7</v>
      </c>
      <c r="G44" s="34">
        <f t="shared" si="41"/>
        <v>0.6436817636</v>
      </c>
      <c r="H44" s="33">
        <v>1.0</v>
      </c>
      <c r="I44" s="33">
        <v>2.0</v>
      </c>
      <c r="J44" s="33">
        <f t="shared" si="42"/>
        <v>3</v>
      </c>
      <c r="K44" s="33">
        <f t="shared" si="43"/>
        <v>9</v>
      </c>
      <c r="L44" s="23">
        <v>181.0</v>
      </c>
      <c r="M44" s="23">
        <v>193.0</v>
      </c>
      <c r="N44" s="23">
        <v>200.0</v>
      </c>
      <c r="O44" s="23">
        <v>196.0</v>
      </c>
      <c r="P44" s="23">
        <v>147.0</v>
      </c>
      <c r="Q44" s="23">
        <v>241.0</v>
      </c>
      <c r="R44" s="23">
        <v>229.0</v>
      </c>
      <c r="S44" s="23">
        <v>225.0</v>
      </c>
      <c r="T44" s="23">
        <v>204.0</v>
      </c>
      <c r="U44" s="35">
        <f t="shared" si="33"/>
        <v>241</v>
      </c>
      <c r="V44" s="35">
        <f t="shared" si="34"/>
        <v>147</v>
      </c>
      <c r="W44" s="56">
        <f t="shared" si="35"/>
        <v>201.7777778</v>
      </c>
      <c r="X44" s="36">
        <f t="shared" si="36"/>
        <v>147</v>
      </c>
      <c r="Y44" s="36" t="str">
        <f t="shared" si="37"/>
        <v>&gt;</v>
      </c>
      <c r="Z44" s="36">
        <f t="shared" si="38"/>
        <v>100.8888889</v>
      </c>
      <c r="AA44" s="42">
        <v>300.0</v>
      </c>
      <c r="AB44" s="39" t="str">
        <f t="shared" si="39"/>
        <v>SI</v>
      </c>
      <c r="AC44" s="39" t="str">
        <f t="shared" si="40"/>
        <v>NO</v>
      </c>
      <c r="AD44" s="40" t="str">
        <f t="shared" si="31"/>
        <v>0</v>
      </c>
      <c r="AE44" s="40" t="str">
        <f t="shared" si="32"/>
        <v>1</v>
      </c>
    </row>
    <row r="45" ht="24.0" customHeight="1">
      <c r="A45" s="1"/>
      <c r="B45" s="33">
        <v>34.0</v>
      </c>
      <c r="C45" s="41" t="s">
        <v>58</v>
      </c>
      <c r="D45" s="33">
        <v>4.67</v>
      </c>
      <c r="E45" s="33">
        <v>4.53</v>
      </c>
      <c r="F45" s="33">
        <v>2.67</v>
      </c>
      <c r="G45" s="34">
        <f t="shared" si="41"/>
        <v>0.8612237421</v>
      </c>
      <c r="H45" s="33">
        <v>1.0</v>
      </c>
      <c r="I45" s="33">
        <v>2.0</v>
      </c>
      <c r="J45" s="33">
        <f t="shared" si="42"/>
        <v>3</v>
      </c>
      <c r="K45" s="33">
        <f t="shared" si="43"/>
        <v>9</v>
      </c>
      <c r="L45" s="23">
        <v>110.0</v>
      </c>
      <c r="M45" s="23">
        <v>104.0</v>
      </c>
      <c r="N45" s="23">
        <v>99.0</v>
      </c>
      <c r="O45" s="23">
        <v>38.0</v>
      </c>
      <c r="P45" s="23">
        <v>67.0</v>
      </c>
      <c r="Q45" s="23">
        <v>73.0</v>
      </c>
      <c r="R45" s="23">
        <v>105.0</v>
      </c>
      <c r="S45" s="23">
        <v>80.0</v>
      </c>
      <c r="T45" s="23">
        <v>93.0</v>
      </c>
      <c r="U45" s="35">
        <f t="shared" si="33"/>
        <v>110</v>
      </c>
      <c r="V45" s="35">
        <f t="shared" si="34"/>
        <v>38</v>
      </c>
      <c r="W45" s="56">
        <f t="shared" si="35"/>
        <v>85.44444444</v>
      </c>
      <c r="X45" s="36">
        <f t="shared" si="36"/>
        <v>38</v>
      </c>
      <c r="Y45" s="36" t="str">
        <f t="shared" si="37"/>
        <v>&lt;</v>
      </c>
      <c r="Z45" s="36">
        <f t="shared" si="38"/>
        <v>42.72222222</v>
      </c>
      <c r="AA45" s="42">
        <v>300.0</v>
      </c>
      <c r="AB45" s="39" t="str">
        <f t="shared" si="39"/>
        <v>NO</v>
      </c>
      <c r="AC45" s="39" t="str">
        <f t="shared" si="40"/>
        <v>NO</v>
      </c>
      <c r="AD45" s="40" t="str">
        <f t="shared" si="31"/>
        <v>1</v>
      </c>
      <c r="AE45" s="40" t="str">
        <f t="shared" si="32"/>
        <v>1</v>
      </c>
    </row>
    <row r="46" ht="24.0" customHeight="1">
      <c r="A46" s="1"/>
      <c r="B46" s="31">
        <v>35.0</v>
      </c>
      <c r="C46" s="41" t="s">
        <v>59</v>
      </c>
      <c r="D46" s="33">
        <v>5.6</v>
      </c>
      <c r="E46" s="33">
        <v>4.18</v>
      </c>
      <c r="F46" s="33">
        <v>3.83</v>
      </c>
      <c r="G46" s="34">
        <f t="shared" si="41"/>
        <v>0.6249232461</v>
      </c>
      <c r="H46" s="33">
        <v>1.0</v>
      </c>
      <c r="I46" s="33">
        <v>2.0</v>
      </c>
      <c r="J46" s="33">
        <f t="shared" si="42"/>
        <v>3</v>
      </c>
      <c r="K46" s="33">
        <f t="shared" si="43"/>
        <v>9</v>
      </c>
      <c r="L46" s="23">
        <v>204.0</v>
      </c>
      <c r="M46" s="23">
        <v>188.0</v>
      </c>
      <c r="N46" s="23">
        <v>155.0</v>
      </c>
      <c r="O46" s="23">
        <v>170.0</v>
      </c>
      <c r="P46" s="23">
        <v>178.0</v>
      </c>
      <c r="Q46" s="23">
        <v>187.0</v>
      </c>
      <c r="R46" s="23">
        <v>232.0</v>
      </c>
      <c r="S46" s="23">
        <v>252.0</v>
      </c>
      <c r="T46" s="23">
        <v>230.0</v>
      </c>
      <c r="U46" s="35">
        <f t="shared" si="33"/>
        <v>252</v>
      </c>
      <c r="V46" s="35">
        <f t="shared" si="34"/>
        <v>155</v>
      </c>
      <c r="W46" s="56">
        <f t="shared" si="35"/>
        <v>199.5555556</v>
      </c>
      <c r="X46" s="36">
        <f t="shared" si="36"/>
        <v>155</v>
      </c>
      <c r="Y46" s="36" t="str">
        <f t="shared" si="37"/>
        <v>&gt;</v>
      </c>
      <c r="Z46" s="36">
        <f t="shared" si="38"/>
        <v>99.77777778</v>
      </c>
      <c r="AA46" s="42">
        <v>300.0</v>
      </c>
      <c r="AB46" s="39" t="str">
        <f t="shared" si="39"/>
        <v>SI</v>
      </c>
      <c r="AC46" s="39" t="str">
        <f t="shared" si="40"/>
        <v>NO</v>
      </c>
      <c r="AD46" s="40" t="str">
        <f t="shared" si="31"/>
        <v>0</v>
      </c>
      <c r="AE46" s="40" t="str">
        <f t="shared" si="32"/>
        <v>1</v>
      </c>
    </row>
    <row r="47" ht="24.0" customHeight="1">
      <c r="A47" s="1"/>
      <c r="B47" s="33">
        <v>36.0</v>
      </c>
      <c r="C47" s="41" t="s">
        <v>60</v>
      </c>
      <c r="D47" s="33" t="s">
        <v>28</v>
      </c>
      <c r="E47" s="33" t="s">
        <v>28</v>
      </c>
      <c r="F47" s="33" t="s">
        <v>28</v>
      </c>
      <c r="G47" s="33" t="s">
        <v>28</v>
      </c>
      <c r="H47" s="33" t="s">
        <v>28</v>
      </c>
      <c r="I47" s="33" t="s">
        <v>28</v>
      </c>
      <c r="J47" s="33" t="s">
        <v>28</v>
      </c>
      <c r="K47" s="33" t="s">
        <v>28</v>
      </c>
      <c r="L47" s="23">
        <v>96.0</v>
      </c>
      <c r="M47" s="23">
        <v>90.0</v>
      </c>
      <c r="N47" s="23">
        <v>83.0</v>
      </c>
      <c r="O47" s="33" t="s">
        <v>28</v>
      </c>
      <c r="P47" s="33" t="s">
        <v>28</v>
      </c>
      <c r="Q47" s="33" t="s">
        <v>28</v>
      </c>
      <c r="R47" s="33" t="s">
        <v>28</v>
      </c>
      <c r="S47" s="33" t="s">
        <v>28</v>
      </c>
      <c r="T47" s="33" t="s">
        <v>28</v>
      </c>
      <c r="U47" s="35">
        <f t="shared" si="33"/>
        <v>96</v>
      </c>
      <c r="V47" s="35">
        <f t="shared" si="34"/>
        <v>83</v>
      </c>
      <c r="W47" s="56">
        <f t="shared" si="35"/>
        <v>89.66666667</v>
      </c>
      <c r="X47" s="36">
        <f t="shared" si="36"/>
        <v>83</v>
      </c>
      <c r="Y47" s="36" t="str">
        <f t="shared" si="37"/>
        <v>&gt;</v>
      </c>
      <c r="Z47" s="36">
        <f t="shared" si="38"/>
        <v>44.83333333</v>
      </c>
      <c r="AA47" s="42">
        <v>200.0</v>
      </c>
      <c r="AB47" s="39" t="str">
        <f t="shared" si="39"/>
        <v>SI</v>
      </c>
      <c r="AC47" s="39" t="str">
        <f t="shared" si="40"/>
        <v>NO</v>
      </c>
      <c r="AD47" s="40" t="str">
        <f t="shared" si="31"/>
        <v>0</v>
      </c>
      <c r="AE47" s="40" t="str">
        <f t="shared" si="32"/>
        <v>1</v>
      </c>
    </row>
    <row r="48" ht="24.0" customHeight="1">
      <c r="A48" s="1"/>
      <c r="B48" s="33">
        <v>37.0</v>
      </c>
      <c r="C48" s="41" t="s">
        <v>61</v>
      </c>
      <c r="D48" s="33" t="s">
        <v>28</v>
      </c>
      <c r="E48" s="33" t="s">
        <v>28</v>
      </c>
      <c r="F48" s="33" t="s">
        <v>28</v>
      </c>
      <c r="G48" s="33" t="s">
        <v>28</v>
      </c>
      <c r="H48" s="33" t="s">
        <v>28</v>
      </c>
      <c r="I48" s="33" t="s">
        <v>28</v>
      </c>
      <c r="J48" s="33" t="s">
        <v>28</v>
      </c>
      <c r="K48" s="33" t="s">
        <v>28</v>
      </c>
      <c r="L48" s="23">
        <v>289.0</v>
      </c>
      <c r="M48" s="23">
        <v>255.0</v>
      </c>
      <c r="N48" s="33" t="s">
        <v>28</v>
      </c>
      <c r="O48" s="33" t="s">
        <v>28</v>
      </c>
      <c r="P48" s="33" t="s">
        <v>28</v>
      </c>
      <c r="Q48" s="33" t="s">
        <v>28</v>
      </c>
      <c r="R48" s="33" t="s">
        <v>28</v>
      </c>
      <c r="S48" s="33" t="s">
        <v>28</v>
      </c>
      <c r="T48" s="33" t="s">
        <v>28</v>
      </c>
      <c r="U48" s="35">
        <f t="shared" si="33"/>
        <v>289</v>
      </c>
      <c r="V48" s="35">
        <f t="shared" si="34"/>
        <v>255</v>
      </c>
      <c r="W48" s="56">
        <f t="shared" si="35"/>
        <v>272</v>
      </c>
      <c r="X48" s="36">
        <f t="shared" si="36"/>
        <v>255</v>
      </c>
      <c r="Y48" s="36" t="str">
        <f t="shared" si="37"/>
        <v>&gt;</v>
      </c>
      <c r="Z48" s="36">
        <f t="shared" si="38"/>
        <v>136</v>
      </c>
      <c r="AA48" s="42">
        <v>200.0</v>
      </c>
      <c r="AB48" s="39" t="str">
        <f t="shared" si="39"/>
        <v>SI</v>
      </c>
      <c r="AC48" s="39" t="str">
        <f t="shared" si="40"/>
        <v>SI</v>
      </c>
      <c r="AD48" s="40" t="str">
        <f t="shared" si="31"/>
        <v>0</v>
      </c>
      <c r="AE48" s="40" t="str">
        <f t="shared" si="32"/>
        <v>0</v>
      </c>
    </row>
    <row r="49" ht="24.0" customHeight="1">
      <c r="A49" s="1"/>
      <c r="B49" s="31">
        <v>38.0</v>
      </c>
      <c r="C49" s="41" t="s">
        <v>62</v>
      </c>
      <c r="D49" s="33">
        <v>2.97</v>
      </c>
      <c r="E49" s="33">
        <v>3.0</v>
      </c>
      <c r="F49" s="33">
        <v>2.7</v>
      </c>
      <c r="G49" s="21">
        <f>+(D49*E49)/(F49*(D49+E49))</f>
        <v>0.5527638191</v>
      </c>
      <c r="H49" s="33">
        <v>1.0</v>
      </c>
      <c r="I49" s="33">
        <v>2.0</v>
      </c>
      <c r="J49" s="33">
        <f>+H49+I49</f>
        <v>3</v>
      </c>
      <c r="K49" s="33">
        <f>POWER(J49,2)</f>
        <v>9</v>
      </c>
      <c r="L49" s="23">
        <v>178.0</v>
      </c>
      <c r="M49" s="23">
        <v>225.0</v>
      </c>
      <c r="N49" s="23">
        <v>229.0</v>
      </c>
      <c r="O49" s="23">
        <v>174.0</v>
      </c>
      <c r="P49" s="23">
        <v>154.0</v>
      </c>
      <c r="Q49" s="23">
        <v>150.0</v>
      </c>
      <c r="R49" s="23">
        <v>153.0</v>
      </c>
      <c r="S49" s="23">
        <v>141.0</v>
      </c>
      <c r="T49" s="23">
        <v>235.0</v>
      </c>
      <c r="U49" s="35">
        <f t="shared" si="33"/>
        <v>235</v>
      </c>
      <c r="V49" s="35">
        <f t="shared" si="34"/>
        <v>141</v>
      </c>
      <c r="W49" s="56">
        <f t="shared" si="35"/>
        <v>182.1111111</v>
      </c>
      <c r="X49" s="36">
        <f t="shared" si="36"/>
        <v>141</v>
      </c>
      <c r="Y49" s="36" t="str">
        <f t="shared" si="37"/>
        <v>&gt;</v>
      </c>
      <c r="Z49" s="36">
        <f t="shared" si="38"/>
        <v>91.05555556</v>
      </c>
      <c r="AA49" s="42">
        <v>300.0</v>
      </c>
      <c r="AB49" s="39" t="str">
        <f t="shared" si="39"/>
        <v>SI</v>
      </c>
      <c r="AC49" s="39" t="str">
        <f t="shared" si="40"/>
        <v>NO</v>
      </c>
      <c r="AD49" s="40" t="str">
        <f t="shared" si="31"/>
        <v>0</v>
      </c>
      <c r="AE49" s="40" t="str">
        <f t="shared" si="32"/>
        <v>1</v>
      </c>
    </row>
    <row r="50" ht="24.0" customHeight="1">
      <c r="A50" s="1"/>
      <c r="B50" s="33">
        <v>39.0</v>
      </c>
      <c r="C50" s="41" t="s">
        <v>63</v>
      </c>
      <c r="D50" s="33" t="s">
        <v>28</v>
      </c>
      <c r="E50" s="33" t="s">
        <v>28</v>
      </c>
      <c r="F50" s="33" t="s">
        <v>28</v>
      </c>
      <c r="G50" s="33" t="s">
        <v>28</v>
      </c>
      <c r="H50" s="33" t="s">
        <v>28</v>
      </c>
      <c r="I50" s="33" t="s">
        <v>28</v>
      </c>
      <c r="J50" s="33" t="s">
        <v>28</v>
      </c>
      <c r="K50" s="33" t="s">
        <v>28</v>
      </c>
      <c r="L50" s="23">
        <v>295.0</v>
      </c>
      <c r="M50" s="23">
        <v>302.0</v>
      </c>
      <c r="N50" s="23">
        <v>428.0</v>
      </c>
      <c r="O50" s="33" t="s">
        <v>28</v>
      </c>
      <c r="P50" s="33" t="s">
        <v>28</v>
      </c>
      <c r="Q50" s="33" t="s">
        <v>28</v>
      </c>
      <c r="R50" s="33" t="s">
        <v>28</v>
      </c>
      <c r="S50" s="33" t="s">
        <v>28</v>
      </c>
      <c r="T50" s="33" t="s">
        <v>28</v>
      </c>
      <c r="U50" s="35">
        <f t="shared" si="33"/>
        <v>428</v>
      </c>
      <c r="V50" s="35">
        <f t="shared" si="34"/>
        <v>295</v>
      </c>
      <c r="W50" s="56">
        <f t="shared" si="35"/>
        <v>341.6666667</v>
      </c>
      <c r="X50" s="36">
        <f t="shared" si="36"/>
        <v>295</v>
      </c>
      <c r="Y50" s="36" t="str">
        <f t="shared" si="37"/>
        <v>&gt;</v>
      </c>
      <c r="Z50" s="36">
        <f t="shared" si="38"/>
        <v>170.8333333</v>
      </c>
      <c r="AA50" s="42">
        <v>100.0</v>
      </c>
      <c r="AB50" s="39" t="str">
        <f t="shared" si="39"/>
        <v>SI</v>
      </c>
      <c r="AC50" s="39" t="str">
        <f t="shared" si="40"/>
        <v>SI</v>
      </c>
      <c r="AD50" s="40" t="str">
        <f t="shared" si="31"/>
        <v>0</v>
      </c>
      <c r="AE50" s="40" t="str">
        <f t="shared" si="32"/>
        <v>0</v>
      </c>
    </row>
    <row r="51" ht="24.0" customHeight="1">
      <c r="A51" s="1"/>
      <c r="B51" s="33">
        <v>40.0</v>
      </c>
      <c r="C51" s="41" t="s">
        <v>64</v>
      </c>
      <c r="D51" s="33">
        <v>3.94</v>
      </c>
      <c r="E51" s="33">
        <v>3.35</v>
      </c>
      <c r="F51" s="33">
        <v>3.32</v>
      </c>
      <c r="G51" s="34">
        <f>+(D51*E51)/(F51*(D51+E51))</f>
        <v>0.5453501248</v>
      </c>
      <c r="H51" s="33">
        <v>1.0</v>
      </c>
      <c r="I51" s="33">
        <v>2.0</v>
      </c>
      <c r="J51" s="33">
        <f>+H51+I51</f>
        <v>3</v>
      </c>
      <c r="K51" s="33">
        <f>POWER(J51,2)</f>
        <v>9</v>
      </c>
      <c r="L51" s="23">
        <v>190.0</v>
      </c>
      <c r="M51" s="23">
        <v>246.0</v>
      </c>
      <c r="N51" s="23">
        <v>239.0</v>
      </c>
      <c r="O51" s="23">
        <v>240.0</v>
      </c>
      <c r="P51" s="23">
        <v>211.0</v>
      </c>
      <c r="Q51" s="23">
        <v>206.0</v>
      </c>
      <c r="R51" s="23">
        <v>253.0</v>
      </c>
      <c r="S51" s="23">
        <v>227.0</v>
      </c>
      <c r="T51" s="23">
        <v>214.0</v>
      </c>
      <c r="U51" s="35">
        <f t="shared" si="33"/>
        <v>253</v>
      </c>
      <c r="V51" s="35">
        <f t="shared" si="34"/>
        <v>190</v>
      </c>
      <c r="W51" s="56">
        <f t="shared" si="35"/>
        <v>225.1111111</v>
      </c>
      <c r="X51" s="36">
        <f t="shared" si="36"/>
        <v>190</v>
      </c>
      <c r="Y51" s="36" t="str">
        <f t="shared" si="37"/>
        <v>&gt;</v>
      </c>
      <c r="Z51" s="36">
        <f t="shared" si="38"/>
        <v>112.5555556</v>
      </c>
      <c r="AA51" s="42">
        <v>200.0</v>
      </c>
      <c r="AB51" s="39" t="str">
        <f t="shared" si="39"/>
        <v>SI</v>
      </c>
      <c r="AC51" s="39" t="str">
        <f t="shared" si="40"/>
        <v>SI</v>
      </c>
      <c r="AD51" s="40" t="str">
        <f t="shared" si="31"/>
        <v>0</v>
      </c>
      <c r="AE51" s="40" t="str">
        <f t="shared" si="32"/>
        <v>0</v>
      </c>
    </row>
    <row r="52" ht="24.0" customHeight="1">
      <c r="A52" s="1"/>
      <c r="B52" s="31">
        <v>41.0</v>
      </c>
      <c r="C52" s="45" t="s">
        <v>65</v>
      </c>
      <c r="D52" s="33" t="s">
        <v>28</v>
      </c>
      <c r="E52" s="33" t="s">
        <v>28</v>
      </c>
      <c r="F52" s="33" t="s">
        <v>28</v>
      </c>
      <c r="G52" s="33" t="s">
        <v>28</v>
      </c>
      <c r="H52" s="33" t="s">
        <v>28</v>
      </c>
      <c r="I52" s="33" t="s">
        <v>28</v>
      </c>
      <c r="J52" s="33" t="s">
        <v>28</v>
      </c>
      <c r="K52" s="33" t="s">
        <v>28</v>
      </c>
      <c r="L52" s="23">
        <v>133.0</v>
      </c>
      <c r="M52" s="23">
        <v>130.0</v>
      </c>
      <c r="N52" s="33" t="s">
        <v>28</v>
      </c>
      <c r="O52" s="33" t="s">
        <v>28</v>
      </c>
      <c r="P52" s="33" t="s">
        <v>28</v>
      </c>
      <c r="Q52" s="33" t="s">
        <v>28</v>
      </c>
      <c r="R52" s="33" t="s">
        <v>28</v>
      </c>
      <c r="S52" s="33" t="s">
        <v>28</v>
      </c>
      <c r="T52" s="33" t="s">
        <v>28</v>
      </c>
      <c r="U52" s="35">
        <f t="shared" si="33"/>
        <v>133</v>
      </c>
      <c r="V52" s="35">
        <f t="shared" si="34"/>
        <v>130</v>
      </c>
      <c r="W52" s="56">
        <f t="shared" si="35"/>
        <v>131.5</v>
      </c>
      <c r="X52" s="36">
        <f t="shared" si="36"/>
        <v>130</v>
      </c>
      <c r="Y52" s="36" t="str">
        <f t="shared" si="37"/>
        <v>&gt;</v>
      </c>
      <c r="Z52" s="36">
        <f t="shared" si="38"/>
        <v>65.75</v>
      </c>
      <c r="AA52" s="42">
        <v>100.0</v>
      </c>
      <c r="AB52" s="39" t="str">
        <f t="shared" si="39"/>
        <v>SI</v>
      </c>
      <c r="AC52" s="39" t="str">
        <f t="shared" si="40"/>
        <v>SI</v>
      </c>
      <c r="AD52" s="40" t="str">
        <f t="shared" si="31"/>
        <v>0</v>
      </c>
      <c r="AE52" s="40" t="str">
        <f t="shared" si="32"/>
        <v>0</v>
      </c>
    </row>
    <row r="53" ht="24.0" customHeight="1">
      <c r="A53" s="1"/>
      <c r="B53" s="33">
        <v>42.0</v>
      </c>
      <c r="C53" s="41" t="s">
        <v>66</v>
      </c>
      <c r="D53" s="33">
        <v>3.78</v>
      </c>
      <c r="E53" s="33">
        <v>2.67</v>
      </c>
      <c r="F53" s="33">
        <v>4.25</v>
      </c>
      <c r="G53" s="34">
        <f t="shared" ref="G53:G57" si="44">+(D53*E53)/(F53*(D53+E53))</f>
        <v>0.3681751026</v>
      </c>
      <c r="H53" s="33">
        <v>1.0</v>
      </c>
      <c r="I53" s="33">
        <v>2.0</v>
      </c>
      <c r="J53" s="33">
        <f t="shared" ref="J53:J57" si="45">+H53+I53</f>
        <v>3</v>
      </c>
      <c r="K53" s="33">
        <f t="shared" ref="K53:K57" si="46">POWER(J53,2)</f>
        <v>9</v>
      </c>
      <c r="L53" s="23">
        <v>419.0</v>
      </c>
      <c r="M53" s="23">
        <v>358.0</v>
      </c>
      <c r="N53" s="23">
        <v>386.0</v>
      </c>
      <c r="O53" s="23">
        <v>365.0</v>
      </c>
      <c r="P53" s="23">
        <v>364.0</v>
      </c>
      <c r="Q53" s="23">
        <v>373.0</v>
      </c>
      <c r="R53" s="23">
        <v>359.0</v>
      </c>
      <c r="S53" s="23">
        <v>375.0</v>
      </c>
      <c r="T53" s="23">
        <v>388.0</v>
      </c>
      <c r="U53" s="35">
        <f t="shared" si="33"/>
        <v>419</v>
      </c>
      <c r="V53" s="35">
        <f t="shared" si="34"/>
        <v>358</v>
      </c>
      <c r="W53" s="56">
        <f t="shared" si="35"/>
        <v>376.3333333</v>
      </c>
      <c r="X53" s="36">
        <f t="shared" si="36"/>
        <v>358</v>
      </c>
      <c r="Y53" s="36" t="str">
        <f t="shared" si="37"/>
        <v>&gt;</v>
      </c>
      <c r="Z53" s="36">
        <f t="shared" si="38"/>
        <v>188.1666667</v>
      </c>
      <c r="AA53" s="42">
        <v>300.0</v>
      </c>
      <c r="AB53" s="39" t="str">
        <f t="shared" si="39"/>
        <v>SI</v>
      </c>
      <c r="AC53" s="39" t="str">
        <f t="shared" si="40"/>
        <v>SI</v>
      </c>
      <c r="AD53" s="40" t="str">
        <f t="shared" si="31"/>
        <v>0</v>
      </c>
      <c r="AE53" s="40" t="str">
        <f t="shared" si="32"/>
        <v>0</v>
      </c>
    </row>
    <row r="54" ht="24.0" customHeight="1">
      <c r="A54" s="1"/>
      <c r="B54" s="33">
        <v>43.0</v>
      </c>
      <c r="C54" s="41" t="s">
        <v>67</v>
      </c>
      <c r="D54" s="33">
        <v>7.77</v>
      </c>
      <c r="E54" s="33">
        <v>4.19</v>
      </c>
      <c r="F54" s="33">
        <v>2.94</v>
      </c>
      <c r="G54" s="21">
        <f t="shared" si="44"/>
        <v>0.9258838987</v>
      </c>
      <c r="H54" s="33">
        <v>1.0</v>
      </c>
      <c r="I54" s="33">
        <v>2.0</v>
      </c>
      <c r="J54" s="33">
        <f t="shared" si="45"/>
        <v>3</v>
      </c>
      <c r="K54" s="33">
        <f t="shared" si="46"/>
        <v>9</v>
      </c>
      <c r="L54" s="23">
        <v>143.0</v>
      </c>
      <c r="M54" s="23">
        <v>168.0</v>
      </c>
      <c r="N54" s="23">
        <v>189.0</v>
      </c>
      <c r="O54" s="23">
        <v>204.0</v>
      </c>
      <c r="P54" s="23">
        <v>157.0</v>
      </c>
      <c r="Q54" s="23">
        <v>147.0</v>
      </c>
      <c r="R54" s="23">
        <v>166.0</v>
      </c>
      <c r="S54" s="23">
        <v>155.0</v>
      </c>
      <c r="T54" s="23">
        <v>205.0</v>
      </c>
      <c r="U54" s="35">
        <f t="shared" si="33"/>
        <v>205</v>
      </c>
      <c r="V54" s="35">
        <f t="shared" si="34"/>
        <v>143</v>
      </c>
      <c r="W54" s="56">
        <f t="shared" si="35"/>
        <v>170.4444444</v>
      </c>
      <c r="X54" s="36">
        <f t="shared" si="36"/>
        <v>143</v>
      </c>
      <c r="Y54" s="36" t="str">
        <f t="shared" si="37"/>
        <v>&gt;</v>
      </c>
      <c r="Z54" s="36">
        <f t="shared" si="38"/>
        <v>85.22222222</v>
      </c>
      <c r="AA54" s="42">
        <v>500.0</v>
      </c>
      <c r="AB54" s="39" t="str">
        <f t="shared" si="39"/>
        <v>SI</v>
      </c>
      <c r="AC54" s="39" t="str">
        <f t="shared" si="40"/>
        <v>NO</v>
      </c>
      <c r="AD54" s="40" t="str">
        <f t="shared" si="31"/>
        <v>0</v>
      </c>
      <c r="AE54" s="40" t="str">
        <f t="shared" si="32"/>
        <v>1</v>
      </c>
    </row>
    <row r="55" ht="24.0" customHeight="1">
      <c r="A55" s="1"/>
      <c r="B55" s="31">
        <v>44.0</v>
      </c>
      <c r="C55" s="41" t="s">
        <v>68</v>
      </c>
      <c r="D55" s="33">
        <v>2.63</v>
      </c>
      <c r="E55" s="33">
        <v>4.18</v>
      </c>
      <c r="F55" s="33">
        <v>2.94</v>
      </c>
      <c r="G55" s="34">
        <f t="shared" si="44"/>
        <v>0.5490824817</v>
      </c>
      <c r="H55" s="33">
        <v>1.0</v>
      </c>
      <c r="I55" s="33">
        <v>2.0</v>
      </c>
      <c r="J55" s="33">
        <f t="shared" si="45"/>
        <v>3</v>
      </c>
      <c r="K55" s="33">
        <f t="shared" si="46"/>
        <v>9</v>
      </c>
      <c r="L55" s="23">
        <v>157.0</v>
      </c>
      <c r="M55" s="23">
        <v>134.0</v>
      </c>
      <c r="N55" s="23">
        <v>118.0</v>
      </c>
      <c r="O55" s="23">
        <v>90.0</v>
      </c>
      <c r="P55" s="23">
        <v>91.0</v>
      </c>
      <c r="Q55" s="23">
        <v>79.0</v>
      </c>
      <c r="R55" s="23">
        <v>10.0</v>
      </c>
      <c r="S55" s="23">
        <v>124.0</v>
      </c>
      <c r="T55" s="23">
        <v>150.0</v>
      </c>
      <c r="U55" s="35">
        <f>MAX(L56:T56)</f>
        <v>189</v>
      </c>
      <c r="V55" s="35">
        <f>MIN(L56:T56)</f>
        <v>118</v>
      </c>
      <c r="W55" s="56">
        <f t="shared" si="35"/>
        <v>105.8888889</v>
      </c>
      <c r="X55" s="36">
        <f t="shared" si="36"/>
        <v>10</v>
      </c>
      <c r="Y55" s="36" t="str">
        <f t="shared" si="37"/>
        <v>&lt;</v>
      </c>
      <c r="Z55" s="36">
        <f t="shared" si="38"/>
        <v>52.94444444</v>
      </c>
      <c r="AA55" s="42">
        <v>300.0</v>
      </c>
      <c r="AB55" s="39" t="str">
        <f t="shared" si="39"/>
        <v>NO</v>
      </c>
      <c r="AC55" s="39" t="str">
        <f t="shared" si="40"/>
        <v>NO</v>
      </c>
      <c r="AD55" s="40" t="str">
        <f t="shared" si="31"/>
        <v>1</v>
      </c>
      <c r="AE55" s="40" t="str">
        <f t="shared" si="32"/>
        <v>1</v>
      </c>
    </row>
    <row r="56" ht="24.0" customHeight="1">
      <c r="A56" s="1"/>
      <c r="B56" s="33">
        <v>45.0</v>
      </c>
      <c r="C56" s="41" t="s">
        <v>69</v>
      </c>
      <c r="D56" s="33">
        <v>2.75</v>
      </c>
      <c r="E56" s="33">
        <v>4.21</v>
      </c>
      <c r="F56" s="33">
        <v>2.94</v>
      </c>
      <c r="G56" s="34">
        <f t="shared" si="44"/>
        <v>0.5657938463</v>
      </c>
      <c r="H56" s="33">
        <v>1.0</v>
      </c>
      <c r="I56" s="33">
        <v>2.0</v>
      </c>
      <c r="J56" s="33">
        <f t="shared" si="45"/>
        <v>3</v>
      </c>
      <c r="K56" s="33">
        <f t="shared" si="46"/>
        <v>9</v>
      </c>
      <c r="L56" s="23">
        <v>138.0</v>
      </c>
      <c r="M56" s="23">
        <v>132.0</v>
      </c>
      <c r="N56" s="23">
        <v>121.0</v>
      </c>
      <c r="O56" s="23">
        <v>141.0</v>
      </c>
      <c r="P56" s="23">
        <v>154.0</v>
      </c>
      <c r="Q56" s="23">
        <v>189.0</v>
      </c>
      <c r="R56" s="23">
        <v>155.0</v>
      </c>
      <c r="S56" s="23">
        <v>123.0</v>
      </c>
      <c r="T56" s="23">
        <v>118.0</v>
      </c>
      <c r="U56" s="35">
        <f>MAX(L55:T55)</f>
        <v>157</v>
      </c>
      <c r="V56" s="35">
        <f>MIN(L55:T55)</f>
        <v>10</v>
      </c>
      <c r="W56" s="56">
        <f t="shared" si="35"/>
        <v>141.2222222</v>
      </c>
      <c r="X56" s="36">
        <f t="shared" si="36"/>
        <v>118</v>
      </c>
      <c r="Y56" s="36" t="str">
        <f t="shared" si="37"/>
        <v>&gt;</v>
      </c>
      <c r="Z56" s="36">
        <f t="shared" si="38"/>
        <v>70.61111111</v>
      </c>
      <c r="AA56" s="42">
        <v>50.0</v>
      </c>
      <c r="AB56" s="39" t="str">
        <f t="shared" si="39"/>
        <v>SI</v>
      </c>
      <c r="AC56" s="39" t="str">
        <f t="shared" si="40"/>
        <v>SI</v>
      </c>
      <c r="AD56" s="40" t="str">
        <f t="shared" si="31"/>
        <v>0</v>
      </c>
      <c r="AE56" s="40" t="str">
        <f t="shared" si="32"/>
        <v>0</v>
      </c>
    </row>
    <row r="57" ht="24.0" customHeight="1">
      <c r="A57" s="1"/>
      <c r="B57" s="33">
        <v>46.0</v>
      </c>
      <c r="C57" s="41" t="s">
        <v>70</v>
      </c>
      <c r="D57" s="33">
        <v>7.09</v>
      </c>
      <c r="E57" s="33">
        <v>7.72</v>
      </c>
      <c r="F57" s="33">
        <v>3.0</v>
      </c>
      <c r="G57" s="43">
        <f t="shared" si="44"/>
        <v>1.231933378</v>
      </c>
      <c r="H57" s="33">
        <v>1.0</v>
      </c>
      <c r="I57" s="33">
        <v>2.0</v>
      </c>
      <c r="J57" s="33">
        <f t="shared" si="45"/>
        <v>3</v>
      </c>
      <c r="K57" s="33">
        <f t="shared" si="46"/>
        <v>9</v>
      </c>
      <c r="L57" s="23">
        <v>423.0</v>
      </c>
      <c r="M57" s="23">
        <v>413.0</v>
      </c>
      <c r="N57" s="23">
        <v>418.0</v>
      </c>
      <c r="O57" s="23">
        <v>327.0</v>
      </c>
      <c r="P57" s="23">
        <v>225.0</v>
      </c>
      <c r="Q57" s="23">
        <v>351.0</v>
      </c>
      <c r="R57" s="23">
        <v>369.0</v>
      </c>
      <c r="S57" s="23">
        <v>521.0</v>
      </c>
      <c r="T57" s="23">
        <v>622.0</v>
      </c>
      <c r="U57" s="35">
        <f t="shared" ref="U57:U61" si="47">MAX(L57:T57)</f>
        <v>622</v>
      </c>
      <c r="V57" s="35">
        <f t="shared" ref="V57:V61" si="48">MIN(L57:T57)</f>
        <v>225</v>
      </c>
      <c r="W57" s="56">
        <f t="shared" si="35"/>
        <v>407.6666667</v>
      </c>
      <c r="X57" s="36">
        <f t="shared" si="36"/>
        <v>225</v>
      </c>
      <c r="Y57" s="36" t="str">
        <f t="shared" si="37"/>
        <v>&gt;</v>
      </c>
      <c r="Z57" s="36">
        <f t="shared" si="38"/>
        <v>203.8333333</v>
      </c>
      <c r="AA57" s="42">
        <v>300.0</v>
      </c>
      <c r="AB57" s="39" t="str">
        <f t="shared" si="39"/>
        <v>SI</v>
      </c>
      <c r="AC57" s="39" t="str">
        <f t="shared" si="40"/>
        <v>SI</v>
      </c>
      <c r="AD57" s="40" t="str">
        <f t="shared" si="31"/>
        <v>0</v>
      </c>
      <c r="AE57" s="40" t="str">
        <f t="shared" si="32"/>
        <v>0</v>
      </c>
    </row>
    <row r="58" ht="24.0" hidden="1" customHeight="1">
      <c r="A58" s="1"/>
      <c r="B58" s="31">
        <v>47.0</v>
      </c>
      <c r="C58" s="41" t="s">
        <v>88</v>
      </c>
      <c r="D58" s="33" t="s">
        <v>28</v>
      </c>
      <c r="E58" s="33" t="s">
        <v>28</v>
      </c>
      <c r="F58" s="33" t="s">
        <v>28</v>
      </c>
      <c r="G58" s="33" t="s">
        <v>28</v>
      </c>
      <c r="H58" s="33" t="s">
        <v>28</v>
      </c>
      <c r="I58" s="33" t="s">
        <v>28</v>
      </c>
      <c r="J58" s="33" t="s">
        <v>28</v>
      </c>
      <c r="K58" s="33" t="s">
        <v>28</v>
      </c>
      <c r="L58" s="23"/>
      <c r="M58" s="23"/>
      <c r="N58" s="33" t="s">
        <v>28</v>
      </c>
      <c r="O58" s="33" t="s">
        <v>28</v>
      </c>
      <c r="P58" s="33" t="s">
        <v>28</v>
      </c>
      <c r="Q58" s="33" t="s">
        <v>28</v>
      </c>
      <c r="R58" s="33" t="s">
        <v>28</v>
      </c>
      <c r="S58" s="33" t="s">
        <v>28</v>
      </c>
      <c r="T58" s="33" t="s">
        <v>28</v>
      </c>
      <c r="U58" s="35">
        <f t="shared" si="47"/>
        <v>0</v>
      </c>
      <c r="V58" s="35">
        <f t="shared" si="48"/>
        <v>0</v>
      </c>
      <c r="W58" s="56" t="str">
        <f t="shared" si="35"/>
        <v>#DIV/0!</v>
      </c>
      <c r="X58" s="36">
        <f t="shared" si="36"/>
        <v>0</v>
      </c>
      <c r="Y58" s="36" t="str">
        <f t="shared" si="37"/>
        <v>#DIV/0!</v>
      </c>
      <c r="Z58" s="36" t="str">
        <f t="shared" si="38"/>
        <v>#DIV/0!</v>
      </c>
      <c r="AA58" s="42">
        <v>300.0</v>
      </c>
      <c r="AB58" s="39" t="str">
        <f t="shared" si="39"/>
        <v>#DIV/0!</v>
      </c>
      <c r="AC58" s="39" t="str">
        <f t="shared" si="40"/>
        <v>#DIV/0!</v>
      </c>
      <c r="AD58" s="40" t="str">
        <f t="shared" si="31"/>
        <v>#DIV/0!</v>
      </c>
      <c r="AE58" s="40" t="str">
        <f t="shared" si="32"/>
        <v>#DIV/0!</v>
      </c>
    </row>
    <row r="59" ht="24.0" hidden="1" customHeight="1">
      <c r="A59" s="1"/>
      <c r="B59" s="33">
        <v>48.0</v>
      </c>
      <c r="C59" s="41" t="s">
        <v>89</v>
      </c>
      <c r="D59" s="33" t="s">
        <v>28</v>
      </c>
      <c r="E59" s="33" t="s">
        <v>28</v>
      </c>
      <c r="F59" s="33" t="s">
        <v>28</v>
      </c>
      <c r="G59" s="33" t="s">
        <v>28</v>
      </c>
      <c r="H59" s="33" t="s">
        <v>28</v>
      </c>
      <c r="I59" s="33" t="s">
        <v>28</v>
      </c>
      <c r="J59" s="33" t="s">
        <v>28</v>
      </c>
      <c r="K59" s="33" t="s">
        <v>28</v>
      </c>
      <c r="L59" s="23"/>
      <c r="M59" s="23"/>
      <c r="N59" s="33" t="s">
        <v>28</v>
      </c>
      <c r="O59" s="33" t="s">
        <v>28</v>
      </c>
      <c r="P59" s="33" t="s">
        <v>28</v>
      </c>
      <c r="Q59" s="33" t="s">
        <v>28</v>
      </c>
      <c r="R59" s="33" t="s">
        <v>28</v>
      </c>
      <c r="S59" s="33" t="s">
        <v>28</v>
      </c>
      <c r="T59" s="33" t="s">
        <v>28</v>
      </c>
      <c r="U59" s="35">
        <f t="shared" si="47"/>
        <v>0</v>
      </c>
      <c r="V59" s="35">
        <f t="shared" si="48"/>
        <v>0</v>
      </c>
      <c r="W59" s="56" t="str">
        <f t="shared" si="35"/>
        <v>#DIV/0!</v>
      </c>
      <c r="X59" s="36">
        <f t="shared" si="36"/>
        <v>0</v>
      </c>
      <c r="Y59" s="36" t="str">
        <f t="shared" si="37"/>
        <v>#DIV/0!</v>
      </c>
      <c r="Z59" s="36" t="str">
        <f t="shared" si="38"/>
        <v>#DIV/0!</v>
      </c>
      <c r="AA59" s="42">
        <v>100.0</v>
      </c>
      <c r="AB59" s="39" t="str">
        <f t="shared" si="39"/>
        <v>#DIV/0!</v>
      </c>
      <c r="AC59" s="39" t="str">
        <f t="shared" si="40"/>
        <v>#DIV/0!</v>
      </c>
      <c r="AD59" s="40" t="str">
        <f t="shared" si="31"/>
        <v>#DIV/0!</v>
      </c>
      <c r="AE59" s="40" t="str">
        <f t="shared" si="32"/>
        <v>#DIV/0!</v>
      </c>
    </row>
    <row r="60" ht="26.25" customHeight="1">
      <c r="A60" s="1"/>
      <c r="B60" s="33">
        <v>49.0</v>
      </c>
      <c r="C60" s="41" t="s">
        <v>71</v>
      </c>
      <c r="D60" s="33">
        <v>12.0</v>
      </c>
      <c r="E60" s="33">
        <v>6.0</v>
      </c>
      <c r="F60" s="33">
        <v>4.0</v>
      </c>
      <c r="G60" s="43">
        <f t="shared" ref="G60:G61" si="49">+(D60*E60)/(F60*(D60+E60))</f>
        <v>1</v>
      </c>
      <c r="H60" s="33">
        <v>1.0</v>
      </c>
      <c r="I60" s="33">
        <v>2.0</v>
      </c>
      <c r="J60" s="33">
        <f t="shared" ref="J60:J61" si="50">+H60+I60</f>
        <v>3</v>
      </c>
      <c r="K60" s="33">
        <f t="shared" ref="K60:K61" si="51">POWER(J60,2)</f>
        <v>9</v>
      </c>
      <c r="L60" s="23">
        <v>202.0</v>
      </c>
      <c r="M60" s="23">
        <v>237.0</v>
      </c>
      <c r="N60" s="23">
        <v>231.0</v>
      </c>
      <c r="O60" s="23">
        <v>183.0</v>
      </c>
      <c r="P60" s="23">
        <v>233.0</v>
      </c>
      <c r="Q60" s="23">
        <v>195.0</v>
      </c>
      <c r="R60" s="23">
        <v>225.0</v>
      </c>
      <c r="S60" s="23">
        <v>163.0</v>
      </c>
      <c r="T60" s="23">
        <v>196.0</v>
      </c>
      <c r="U60" s="35">
        <f t="shared" si="47"/>
        <v>237</v>
      </c>
      <c r="V60" s="35">
        <f t="shared" si="48"/>
        <v>163</v>
      </c>
      <c r="W60" s="56">
        <f t="shared" si="35"/>
        <v>207.2222222</v>
      </c>
      <c r="X60" s="36">
        <f t="shared" si="36"/>
        <v>163</v>
      </c>
      <c r="Y60" s="36" t="str">
        <f t="shared" si="37"/>
        <v>&gt;</v>
      </c>
      <c r="Z60" s="36">
        <f t="shared" si="38"/>
        <v>103.6111111</v>
      </c>
      <c r="AA60" s="42">
        <v>300.0</v>
      </c>
      <c r="AB60" s="39" t="str">
        <f t="shared" si="39"/>
        <v>SI</v>
      </c>
      <c r="AC60" s="39" t="str">
        <f t="shared" si="40"/>
        <v>NO</v>
      </c>
      <c r="AD60" s="40" t="str">
        <f t="shared" si="31"/>
        <v>0</v>
      </c>
      <c r="AE60" s="40" t="str">
        <f t="shared" si="32"/>
        <v>1</v>
      </c>
    </row>
    <row r="61" ht="27.75" customHeight="1">
      <c r="A61" s="1"/>
      <c r="B61" s="31">
        <v>50.0</v>
      </c>
      <c r="C61" s="41" t="s">
        <v>72</v>
      </c>
      <c r="D61" s="33">
        <v>4.0</v>
      </c>
      <c r="E61" s="33">
        <v>2.0</v>
      </c>
      <c r="F61" s="33">
        <v>3.0</v>
      </c>
      <c r="G61" s="43">
        <f t="shared" si="49"/>
        <v>0.4444444444</v>
      </c>
      <c r="H61" s="33">
        <v>1.0</v>
      </c>
      <c r="I61" s="33">
        <v>2.0</v>
      </c>
      <c r="J61" s="33">
        <f t="shared" si="50"/>
        <v>3</v>
      </c>
      <c r="K61" s="33">
        <f t="shared" si="51"/>
        <v>9</v>
      </c>
      <c r="L61" s="23">
        <v>96.0</v>
      </c>
      <c r="M61" s="23">
        <v>95.0</v>
      </c>
      <c r="N61" s="23">
        <v>74.0</v>
      </c>
      <c r="O61" s="23">
        <v>61.0</v>
      </c>
      <c r="P61" s="23">
        <v>51.0</v>
      </c>
      <c r="Q61" s="23">
        <v>38.0</v>
      </c>
      <c r="R61" s="23">
        <v>9.0</v>
      </c>
      <c r="S61" s="23">
        <v>43.0</v>
      </c>
      <c r="T61" s="23">
        <v>79.0</v>
      </c>
      <c r="U61" s="35">
        <f t="shared" si="47"/>
        <v>96</v>
      </c>
      <c r="V61" s="35">
        <f t="shared" si="48"/>
        <v>9</v>
      </c>
      <c r="W61" s="56">
        <f t="shared" si="35"/>
        <v>60.66666667</v>
      </c>
      <c r="X61" s="36">
        <f t="shared" si="36"/>
        <v>9</v>
      </c>
      <c r="Y61" s="36" t="str">
        <f t="shared" si="37"/>
        <v>&lt;</v>
      </c>
      <c r="Z61" s="36">
        <f t="shared" si="38"/>
        <v>30.33333333</v>
      </c>
      <c r="AA61" s="42">
        <v>100.0</v>
      </c>
      <c r="AB61" s="39" t="str">
        <f t="shared" si="39"/>
        <v>NO</v>
      </c>
      <c r="AC61" s="39" t="str">
        <f t="shared" si="40"/>
        <v>NO</v>
      </c>
      <c r="AD61" s="40" t="str">
        <f t="shared" si="31"/>
        <v>1</v>
      </c>
      <c r="AE61" s="40" t="str">
        <f t="shared" si="32"/>
        <v>1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W62" s="1"/>
      <c r="X62" s="1"/>
      <c r="Y62" s="1"/>
      <c r="Z62" s="1"/>
      <c r="AA62" s="1"/>
      <c r="AB62" s="1"/>
      <c r="AC62" s="1"/>
      <c r="AD62" s="46" t="str">
        <f>+AD5+AD9+AD10+AD11+AD12+AD13+AD14+AD15+AD16+AD18+AD19+AD20+AD21+AD22+AD23+AD24+AD25+AD26+AD27+AD28+AD29+AD30+AD35+AD36+AD32+AD33+AD37+AD38+AD39+AD40+AD41+AD42+AD43+AD44+AD45+#REF!+AD46+AD47+AD48+AD49+AD50+AD51+AD52+AD53+AD54+AD55+AD56+AD57+AD58+AD59+AD60+AD61</f>
        <v>#DIV/0!</v>
      </c>
      <c r="AE62" s="47" t="str">
        <f>+AE5+AE9+AE10+AE11+AE12+AE13+AE14+AE15+AE16+AE18+AE19+AE20+AE21+AE22+AE23+AE24+AE25+AE26+AE27+AE28+AE29+AE30+AE31+AE34+AE35+AE36+AE32+AE33+AE37+AE38+AE39+AE40+AE41+AE42+AE43+AE44+AE45+#REF!+AE46+AE47+AE48+AE49+AE50+AE51+AE52+AE53+AE54+AE55+AE56+AE57+AE58+AE59+AE60+AE61</f>
        <v>#DIV/0!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1">
        <f>COUNT(L5:T31,L32:T61)</f>
        <v>379</v>
      </c>
      <c r="M67" s="1"/>
      <c r="N67" s="1"/>
      <c r="O67" s="1"/>
      <c r="P67" s="1"/>
      <c r="Q67" s="1"/>
      <c r="R67" s="1"/>
      <c r="S67" s="1"/>
      <c r="T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1"/>
      <c r="C73" s="1"/>
      <c r="D73" s="1"/>
      <c r="E73" s="1"/>
      <c r="F73" s="1"/>
      <c r="G73" s="1">
        <f>AVERAGE(F52:H72)</f>
        <v>1.674062531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75">
    <mergeCell ref="D3:F3"/>
    <mergeCell ref="L3:T3"/>
    <mergeCell ref="W3:W4"/>
    <mergeCell ref="X3:Z4"/>
    <mergeCell ref="AA3:AA4"/>
    <mergeCell ref="AB3:AB4"/>
    <mergeCell ref="AC3:AC4"/>
    <mergeCell ref="AD3:AD4"/>
    <mergeCell ref="AE3:AE4"/>
    <mergeCell ref="C1:T1"/>
    <mergeCell ref="B2:AC2"/>
    <mergeCell ref="B3:B4"/>
    <mergeCell ref="C3:C4"/>
    <mergeCell ref="G3:G4"/>
    <mergeCell ref="H3:H4"/>
    <mergeCell ref="K3:K4"/>
    <mergeCell ref="G5:G8"/>
    <mergeCell ref="H5:H8"/>
    <mergeCell ref="K5:K8"/>
    <mergeCell ref="Z5:Z8"/>
    <mergeCell ref="AA5:AA8"/>
    <mergeCell ref="AB5:AB8"/>
    <mergeCell ref="AC5:AC8"/>
    <mergeCell ref="AD5:AD7"/>
    <mergeCell ref="AE5:AE7"/>
    <mergeCell ref="U3:U4"/>
    <mergeCell ref="V3:V4"/>
    <mergeCell ref="U5:U7"/>
    <mergeCell ref="V5:V7"/>
    <mergeCell ref="W5:W8"/>
    <mergeCell ref="X5:X8"/>
    <mergeCell ref="Y5:Y8"/>
    <mergeCell ref="L35:T35"/>
    <mergeCell ref="U35:U36"/>
    <mergeCell ref="X35:Z36"/>
    <mergeCell ref="AA35:AA36"/>
    <mergeCell ref="AB35:AB36"/>
    <mergeCell ref="AC35:AC36"/>
    <mergeCell ref="B34:AC34"/>
    <mergeCell ref="B35:B36"/>
    <mergeCell ref="C35:C36"/>
    <mergeCell ref="D35:F35"/>
    <mergeCell ref="G35:G36"/>
    <mergeCell ref="H35:H36"/>
    <mergeCell ref="I35:I36"/>
    <mergeCell ref="I5:I8"/>
    <mergeCell ref="J5:J8"/>
    <mergeCell ref="I3:I4"/>
    <mergeCell ref="J3:J4"/>
    <mergeCell ref="B5:B8"/>
    <mergeCell ref="C5:C8"/>
    <mergeCell ref="D5:D8"/>
    <mergeCell ref="E5:E8"/>
    <mergeCell ref="F5:F8"/>
    <mergeCell ref="B16:B17"/>
    <mergeCell ref="C16:C17"/>
    <mergeCell ref="D16:D17"/>
    <mergeCell ref="E16:E17"/>
    <mergeCell ref="F16:F17"/>
    <mergeCell ref="G16:G17"/>
    <mergeCell ref="H16:H17"/>
    <mergeCell ref="AA16:AA17"/>
    <mergeCell ref="AB16:AB17"/>
    <mergeCell ref="AC16:AC17"/>
    <mergeCell ref="I16:I17"/>
    <mergeCell ref="J16:J17"/>
    <mergeCell ref="K16:K17"/>
    <mergeCell ref="W16:W17"/>
    <mergeCell ref="X16:X17"/>
    <mergeCell ref="Y16:Y17"/>
    <mergeCell ref="Z16:Z17"/>
    <mergeCell ref="J35:J36"/>
    <mergeCell ref="K35:K36"/>
    <mergeCell ref="V35:V36"/>
    <mergeCell ref="W35:W36"/>
  </mergeCells>
  <conditionalFormatting sqref="AB5:AE5 AB9:AE33 AB37:AC61 AD34:AE62">
    <cfRule type="cellIs" dxfId="0" priority="1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39.43"/>
    <col customWidth="1" min="4" max="4" width="8.71"/>
    <col customWidth="1" min="5" max="5" width="8.29"/>
    <col customWidth="1" min="6" max="6" width="6.86"/>
    <col customWidth="1" min="7" max="7" width="7.57"/>
    <col customWidth="1" min="8" max="8" width="6.86"/>
    <col customWidth="1" min="9" max="9" width="9.43"/>
    <col customWidth="1" min="10" max="10" width="7.71"/>
    <col customWidth="1" min="11" max="11" width="8.14"/>
    <col customWidth="1" min="12" max="20" width="5.71"/>
    <col customWidth="1" hidden="1" min="21" max="22" width="8.0"/>
    <col customWidth="1" min="23" max="23" width="8.86"/>
    <col customWidth="1" min="24" max="24" width="6.29"/>
    <col customWidth="1" min="25" max="26" width="4.71"/>
    <col customWidth="1" min="27" max="27" width="9.29"/>
    <col customWidth="1" min="28" max="28" width="15.14"/>
    <col customWidth="1" min="29" max="29" width="14.43"/>
    <col customWidth="1" min="30" max="30" width="11.43"/>
    <col customWidth="1" min="31" max="31" width="12.43"/>
  </cols>
  <sheetData>
    <row r="1">
      <c r="A1" s="1"/>
      <c r="B1" s="1"/>
      <c r="C1" s="2" t="s">
        <v>0</v>
      </c>
      <c r="W1" s="1"/>
      <c r="X1" s="1"/>
      <c r="Y1" s="1"/>
      <c r="Z1" s="1"/>
      <c r="AA1" s="1"/>
      <c r="AB1" s="1"/>
      <c r="AC1" s="1"/>
      <c r="AD1" s="1"/>
      <c r="AE1" s="1"/>
    </row>
    <row r="2" ht="15.0" customHeight="1">
      <c r="A2" s="1"/>
      <c r="B2" s="52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4"/>
      <c r="AD2" s="1"/>
      <c r="AE2" s="5" t="s">
        <v>2</v>
      </c>
    </row>
    <row r="3" ht="35.25" customHeight="1">
      <c r="A3" s="1"/>
      <c r="B3" s="6" t="s">
        <v>3</v>
      </c>
      <c r="C3" s="6" t="s">
        <v>4</v>
      </c>
      <c r="D3" s="7" t="s">
        <v>5</v>
      </c>
      <c r="E3" s="8"/>
      <c r="F3" s="9"/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8"/>
      <c r="N3" s="8"/>
      <c r="O3" s="8"/>
      <c r="P3" s="8"/>
      <c r="Q3" s="8"/>
      <c r="R3" s="8"/>
      <c r="S3" s="8"/>
      <c r="T3" s="10"/>
      <c r="U3" s="11" t="s">
        <v>12</v>
      </c>
      <c r="V3" s="11" t="s">
        <v>13</v>
      </c>
      <c r="W3" s="6" t="s">
        <v>15</v>
      </c>
      <c r="X3" s="12" t="s">
        <v>14</v>
      </c>
      <c r="Y3" s="13"/>
      <c r="Z3" s="14"/>
      <c r="AA3" s="6" t="s">
        <v>16</v>
      </c>
      <c r="AB3" s="6" t="s">
        <v>17</v>
      </c>
      <c r="AC3" s="6" t="s">
        <v>18</v>
      </c>
      <c r="AD3" s="6" t="s">
        <v>19</v>
      </c>
      <c r="AE3" s="6" t="s">
        <v>20</v>
      </c>
    </row>
    <row r="4" ht="33.0" customHeight="1">
      <c r="A4" s="1"/>
      <c r="B4" s="15"/>
      <c r="C4" s="15"/>
      <c r="D4" s="16" t="s">
        <v>21</v>
      </c>
      <c r="E4" s="16" t="s">
        <v>22</v>
      </c>
      <c r="F4" s="16" t="s">
        <v>23</v>
      </c>
      <c r="G4" s="15"/>
      <c r="H4" s="15"/>
      <c r="I4" s="15"/>
      <c r="J4" s="15"/>
      <c r="K4" s="15"/>
      <c r="L4" s="17">
        <v>1.0</v>
      </c>
      <c r="M4" s="17">
        <v>2.0</v>
      </c>
      <c r="N4" s="17">
        <v>3.0</v>
      </c>
      <c r="O4" s="17">
        <v>4.0</v>
      </c>
      <c r="P4" s="17">
        <v>5.0</v>
      </c>
      <c r="Q4" s="17">
        <v>6.0</v>
      </c>
      <c r="R4" s="17">
        <v>7.0</v>
      </c>
      <c r="S4" s="17">
        <v>8.0</v>
      </c>
      <c r="T4" s="17">
        <v>9.0</v>
      </c>
      <c r="U4" s="15"/>
      <c r="V4" s="15"/>
      <c r="W4" s="15"/>
      <c r="X4" s="18"/>
      <c r="Y4" s="19"/>
      <c r="Z4" s="20"/>
      <c r="AA4" s="15"/>
      <c r="AB4" s="15"/>
      <c r="AC4" s="15"/>
      <c r="AD4" s="15"/>
      <c r="AE4" s="15"/>
    </row>
    <row r="5" ht="24.0" customHeight="1">
      <c r="A5" s="1"/>
      <c r="B5" s="21">
        <v>1.0</v>
      </c>
      <c r="C5" s="22" t="s">
        <v>24</v>
      </c>
      <c r="D5" s="21">
        <v>58.0</v>
      </c>
      <c r="E5" s="21">
        <v>70.0</v>
      </c>
      <c r="F5" s="21">
        <v>4.25</v>
      </c>
      <c r="G5" s="21">
        <f>+(D5*E5)/(F5*(D5+E5))</f>
        <v>7.463235294</v>
      </c>
      <c r="H5" s="21">
        <v>4.0</v>
      </c>
      <c r="I5" s="21">
        <v>2.0</v>
      </c>
      <c r="J5" s="21">
        <f>+H5+I5</f>
        <v>6</v>
      </c>
      <c r="K5" s="21">
        <f>POWER(J5,2)</f>
        <v>36</v>
      </c>
      <c r="L5" s="23">
        <v>323.0</v>
      </c>
      <c r="M5" s="23">
        <v>388.0</v>
      </c>
      <c r="N5" s="23">
        <v>379.0</v>
      </c>
      <c r="O5" s="23">
        <v>376.0</v>
      </c>
      <c r="P5" s="23">
        <v>369.0</v>
      </c>
      <c r="Q5" s="23">
        <v>390.0</v>
      </c>
      <c r="R5" s="23">
        <v>405.0</v>
      </c>
      <c r="S5" s="23">
        <v>380.0</v>
      </c>
      <c r="T5" s="23">
        <v>247.0</v>
      </c>
      <c r="U5" s="24">
        <f>MAX(L5:T7)</f>
        <v>584</v>
      </c>
      <c r="V5" s="24">
        <f>MIN(L5:T7)</f>
        <v>247</v>
      </c>
      <c r="W5" s="55">
        <f>AVERAGE(L5:T8)</f>
        <v>404.8333333</v>
      </c>
      <c r="X5" s="21">
        <f>MIN(L5:T8)</f>
        <v>247</v>
      </c>
      <c r="Y5" s="21" t="str">
        <f>IF(X5&gt;Z5,"&gt;","&lt;")</f>
        <v>&gt;</v>
      </c>
      <c r="Z5" s="21">
        <f>+W5/2</f>
        <v>202.4166667</v>
      </c>
      <c r="AA5" s="21">
        <v>500.0</v>
      </c>
      <c r="AB5" s="26" t="str">
        <f>IF(X5&gt;Z5,"SI","NO")</f>
        <v>SI</v>
      </c>
      <c r="AC5" s="26" t="str">
        <f>IF(W5&gt;AA5,"SI","NO")</f>
        <v>NO</v>
      </c>
      <c r="AD5" s="27" t="str">
        <f>IF(AB5=AE$2,"1","0")</f>
        <v>0</v>
      </c>
      <c r="AE5" s="27" t="str">
        <f>IF(AC5=AE$2,"1","0")</f>
        <v>1</v>
      </c>
    </row>
    <row r="6" ht="24.0" customHeight="1">
      <c r="A6" s="1"/>
      <c r="B6" s="28"/>
      <c r="C6" s="28"/>
      <c r="D6" s="28"/>
      <c r="E6" s="28"/>
      <c r="F6" s="28"/>
      <c r="G6" s="28"/>
      <c r="H6" s="28"/>
      <c r="I6" s="28"/>
      <c r="J6" s="28"/>
      <c r="K6" s="28"/>
      <c r="L6" s="23">
        <v>399.0</v>
      </c>
      <c r="M6" s="23">
        <v>295.0</v>
      </c>
      <c r="N6" s="23">
        <v>468.0</v>
      </c>
      <c r="O6" s="23">
        <v>410.0</v>
      </c>
      <c r="P6" s="23">
        <v>380.0</v>
      </c>
      <c r="Q6" s="23">
        <v>440.0</v>
      </c>
      <c r="R6" s="23">
        <v>401.0</v>
      </c>
      <c r="S6" s="23">
        <v>430.0</v>
      </c>
      <c r="T6" s="23">
        <v>300.0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ht="24.0" customHeight="1">
      <c r="A7" s="1"/>
      <c r="B7" s="28"/>
      <c r="C7" s="28"/>
      <c r="D7" s="28"/>
      <c r="E7" s="28"/>
      <c r="F7" s="28"/>
      <c r="G7" s="28"/>
      <c r="H7" s="28"/>
      <c r="I7" s="28"/>
      <c r="J7" s="28"/>
      <c r="K7" s="28"/>
      <c r="L7" s="23">
        <v>533.0</v>
      </c>
      <c r="M7" s="23">
        <v>498.0</v>
      </c>
      <c r="N7" s="23">
        <v>447.0</v>
      </c>
      <c r="O7" s="23">
        <v>584.0</v>
      </c>
      <c r="P7" s="23">
        <v>259.0</v>
      </c>
      <c r="Q7" s="23">
        <v>287.0</v>
      </c>
      <c r="R7" s="23">
        <v>346.0</v>
      </c>
      <c r="S7" s="23">
        <v>379.0</v>
      </c>
      <c r="T7" s="23">
        <v>383.0</v>
      </c>
      <c r="U7" s="15"/>
      <c r="V7" s="15"/>
      <c r="W7" s="28"/>
      <c r="X7" s="28"/>
      <c r="Y7" s="28"/>
      <c r="Z7" s="28"/>
      <c r="AA7" s="28"/>
      <c r="AB7" s="28"/>
      <c r="AC7" s="28"/>
      <c r="AD7" s="15"/>
      <c r="AE7" s="15"/>
    </row>
    <row r="8" ht="24.0" customHeight="1">
      <c r="A8" s="1"/>
      <c r="B8" s="15"/>
      <c r="C8" s="15"/>
      <c r="D8" s="15"/>
      <c r="E8" s="15"/>
      <c r="F8" s="15"/>
      <c r="G8" s="15"/>
      <c r="H8" s="15"/>
      <c r="I8" s="15"/>
      <c r="J8" s="15"/>
      <c r="K8" s="15"/>
      <c r="L8" s="23">
        <v>447.0</v>
      </c>
      <c r="M8" s="23">
        <v>450.0</v>
      </c>
      <c r="N8" s="23">
        <v>363.0</v>
      </c>
      <c r="O8" s="23">
        <v>376.0</v>
      </c>
      <c r="P8" s="23">
        <v>398.0</v>
      </c>
      <c r="Q8" s="23">
        <v>498.0</v>
      </c>
      <c r="R8" s="23">
        <v>505.0</v>
      </c>
      <c r="S8" s="23">
        <v>518.0</v>
      </c>
      <c r="T8" s="23">
        <v>523.0</v>
      </c>
      <c r="U8" s="29"/>
      <c r="V8" s="29"/>
      <c r="W8" s="15"/>
      <c r="X8" s="15"/>
      <c r="Y8" s="15"/>
      <c r="Z8" s="15"/>
      <c r="AA8" s="15"/>
      <c r="AB8" s="15"/>
      <c r="AC8" s="15"/>
      <c r="AD8" s="30"/>
      <c r="AE8" s="30"/>
    </row>
    <row r="9" ht="24.0" customHeight="1">
      <c r="A9" s="1"/>
      <c r="B9" s="31">
        <v>2.0</v>
      </c>
      <c r="C9" s="32" t="s">
        <v>25</v>
      </c>
      <c r="D9" s="33">
        <v>5.05</v>
      </c>
      <c r="E9" s="33">
        <v>38.25</v>
      </c>
      <c r="F9" s="33">
        <v>4.25</v>
      </c>
      <c r="G9" s="34">
        <f t="shared" ref="G9:G10" si="1">+(D9*E9)/(F9*(D9+E9))</f>
        <v>1.04965358</v>
      </c>
      <c r="H9" s="33">
        <v>1.0</v>
      </c>
      <c r="I9" s="33">
        <v>2.0</v>
      </c>
      <c r="J9" s="33">
        <f t="shared" ref="J9:J10" si="2">+H9+I9</f>
        <v>3</v>
      </c>
      <c r="K9" s="33">
        <f t="shared" ref="K9:K10" si="3">POWER(J9,2)</f>
        <v>9</v>
      </c>
      <c r="L9" s="23">
        <v>572.0</v>
      </c>
      <c r="M9" s="23">
        <v>524.0</v>
      </c>
      <c r="N9" s="23">
        <v>527.0</v>
      </c>
      <c r="O9" s="23">
        <v>540.0</v>
      </c>
      <c r="P9" s="23">
        <v>545.0</v>
      </c>
      <c r="Q9" s="23">
        <v>499.0</v>
      </c>
      <c r="R9" s="23">
        <v>582.0</v>
      </c>
      <c r="S9" s="23">
        <v>514.0</v>
      </c>
      <c r="T9" s="23">
        <v>523.0</v>
      </c>
      <c r="U9" s="35">
        <f t="shared" ref="U9:U16" si="4">MAX(L9:T9)</f>
        <v>582</v>
      </c>
      <c r="V9" s="35">
        <f t="shared" ref="V9:V16" si="5">MIN(L9:T9)</f>
        <v>499</v>
      </c>
      <c r="W9" s="56">
        <f t="shared" ref="W9:W15" si="6">AVERAGE(L9:T9)</f>
        <v>536.2222222</v>
      </c>
      <c r="X9" s="36">
        <f t="shared" ref="X9:X15" si="7">MIN(L9:T9)</f>
        <v>499</v>
      </c>
      <c r="Y9" s="36" t="str">
        <f t="shared" ref="Y9:Y16" si="8">IF(X9&gt;Z9,"&gt;","&lt;")</f>
        <v>&gt;</v>
      </c>
      <c r="Z9" s="36">
        <f t="shared" ref="Z9:Z16" si="9">+W9/2</f>
        <v>268.1111111</v>
      </c>
      <c r="AA9" s="38">
        <v>500.0</v>
      </c>
      <c r="AB9" s="39" t="str">
        <f t="shared" ref="AB9:AB16" si="10">IF(X9&gt;Z9,"SI","NO")</f>
        <v>SI</v>
      </c>
      <c r="AC9" s="39" t="str">
        <f t="shared" ref="AC9:AC16" si="11">IF(W9&gt;AA9,"SI","NO")</f>
        <v>SI</v>
      </c>
      <c r="AD9" s="40" t="str">
        <f t="shared" ref="AD9:AD16" si="12">IF(AB9=AE$2,"1","0")</f>
        <v>0</v>
      </c>
      <c r="AE9" s="40" t="str">
        <f t="shared" ref="AE9:AE16" si="13">IF(AC9=AE$2,"1","0")</f>
        <v>0</v>
      </c>
    </row>
    <row r="10" ht="24.0" customHeight="1">
      <c r="A10" s="1"/>
      <c r="B10" s="33">
        <v>3.0</v>
      </c>
      <c r="C10" s="41" t="s">
        <v>26</v>
      </c>
      <c r="D10" s="33">
        <v>7.22</v>
      </c>
      <c r="E10" s="33">
        <v>2.39</v>
      </c>
      <c r="F10" s="33">
        <v>4.25</v>
      </c>
      <c r="G10" s="34">
        <f t="shared" si="1"/>
        <v>0.4224961743</v>
      </c>
      <c r="H10" s="33">
        <v>1.0</v>
      </c>
      <c r="I10" s="33">
        <v>2.0</v>
      </c>
      <c r="J10" s="33">
        <f t="shared" si="2"/>
        <v>3</v>
      </c>
      <c r="K10" s="33">
        <f t="shared" si="3"/>
        <v>9</v>
      </c>
      <c r="L10" s="23">
        <v>494.0</v>
      </c>
      <c r="M10" s="23">
        <v>547.0</v>
      </c>
      <c r="N10" s="23">
        <v>524.0</v>
      </c>
      <c r="O10" s="23">
        <v>462.0</v>
      </c>
      <c r="P10" s="23">
        <v>494.0</v>
      </c>
      <c r="Q10" s="23">
        <v>515.0</v>
      </c>
      <c r="R10" s="23">
        <v>536.0</v>
      </c>
      <c r="S10" s="23">
        <v>530.0</v>
      </c>
      <c r="T10" s="23">
        <v>540.0</v>
      </c>
      <c r="U10" s="35">
        <f t="shared" si="4"/>
        <v>547</v>
      </c>
      <c r="V10" s="35">
        <f t="shared" si="5"/>
        <v>462</v>
      </c>
      <c r="W10" s="56">
        <f t="shared" si="6"/>
        <v>515.7777778</v>
      </c>
      <c r="X10" s="36">
        <f t="shared" si="7"/>
        <v>462</v>
      </c>
      <c r="Y10" s="36" t="str">
        <f t="shared" si="8"/>
        <v>&gt;</v>
      </c>
      <c r="Z10" s="36">
        <f t="shared" si="9"/>
        <v>257.8888889</v>
      </c>
      <c r="AA10" s="42">
        <v>500.0</v>
      </c>
      <c r="AB10" s="39" t="str">
        <f t="shared" si="10"/>
        <v>SI</v>
      </c>
      <c r="AC10" s="39" t="str">
        <f t="shared" si="11"/>
        <v>SI</v>
      </c>
      <c r="AD10" s="40" t="str">
        <f t="shared" si="12"/>
        <v>0</v>
      </c>
      <c r="AE10" s="40" t="str">
        <f t="shared" si="13"/>
        <v>0</v>
      </c>
    </row>
    <row r="11" ht="24.0" customHeight="1">
      <c r="A11" s="1"/>
      <c r="B11" s="33">
        <v>4.0</v>
      </c>
      <c r="C11" s="41" t="s">
        <v>27</v>
      </c>
      <c r="D11" s="33" t="s">
        <v>28</v>
      </c>
      <c r="E11" s="33" t="s">
        <v>28</v>
      </c>
      <c r="F11" s="33" t="s">
        <v>28</v>
      </c>
      <c r="G11" s="33" t="s">
        <v>28</v>
      </c>
      <c r="H11" s="33" t="s">
        <v>28</v>
      </c>
      <c r="I11" s="33" t="s">
        <v>28</v>
      </c>
      <c r="J11" s="33" t="s">
        <v>28</v>
      </c>
      <c r="K11" s="33" t="s">
        <v>28</v>
      </c>
      <c r="L11" s="23">
        <v>146.0</v>
      </c>
      <c r="M11" s="23">
        <v>158.0</v>
      </c>
      <c r="N11" s="23">
        <v>135.0</v>
      </c>
      <c r="O11" s="33" t="s">
        <v>28</v>
      </c>
      <c r="P11" s="33" t="s">
        <v>28</v>
      </c>
      <c r="Q11" s="33" t="s">
        <v>28</v>
      </c>
      <c r="R11" s="33" t="s">
        <v>28</v>
      </c>
      <c r="S11" s="33" t="s">
        <v>28</v>
      </c>
      <c r="T11" s="33" t="s">
        <v>28</v>
      </c>
      <c r="U11" s="35">
        <f t="shared" si="4"/>
        <v>158</v>
      </c>
      <c r="V11" s="35">
        <f t="shared" si="5"/>
        <v>135</v>
      </c>
      <c r="W11" s="56">
        <f t="shared" si="6"/>
        <v>146.3333333</v>
      </c>
      <c r="X11" s="36">
        <f t="shared" si="7"/>
        <v>135</v>
      </c>
      <c r="Y11" s="36" t="str">
        <f t="shared" si="8"/>
        <v>&gt;</v>
      </c>
      <c r="Z11" s="36">
        <f t="shared" si="9"/>
        <v>73.16666667</v>
      </c>
      <c r="AA11" s="42">
        <v>100.0</v>
      </c>
      <c r="AB11" s="39" t="str">
        <f t="shared" si="10"/>
        <v>SI</v>
      </c>
      <c r="AC11" s="39" t="str">
        <f t="shared" si="11"/>
        <v>SI</v>
      </c>
      <c r="AD11" s="40" t="str">
        <f t="shared" si="12"/>
        <v>0</v>
      </c>
      <c r="AE11" s="40" t="str">
        <f t="shared" si="13"/>
        <v>0</v>
      </c>
    </row>
    <row r="12" ht="24.0" customHeight="1">
      <c r="A12" s="1"/>
      <c r="B12" s="31">
        <v>5.0</v>
      </c>
      <c r="C12" s="41" t="s">
        <v>29</v>
      </c>
      <c r="D12" s="33">
        <v>3.78</v>
      </c>
      <c r="E12" s="33">
        <v>3.66</v>
      </c>
      <c r="F12" s="33">
        <v>2.88</v>
      </c>
      <c r="G12" s="34">
        <f t="shared" ref="G12:G13" si="14">+(D12*E12)/(F12*(D12+E12))</f>
        <v>0.6456653226</v>
      </c>
      <c r="H12" s="33">
        <v>1.0</v>
      </c>
      <c r="I12" s="33">
        <v>2.0</v>
      </c>
      <c r="J12" s="33">
        <f t="shared" ref="J12:J13" si="15">+H12+I12</f>
        <v>3</v>
      </c>
      <c r="K12" s="33">
        <f t="shared" ref="K12:K13" si="16">POWER(J12,2)</f>
        <v>9</v>
      </c>
      <c r="L12" s="23">
        <v>116.0</v>
      </c>
      <c r="M12" s="23">
        <v>139.0</v>
      </c>
      <c r="N12" s="23">
        <v>99.0</v>
      </c>
      <c r="O12" s="23">
        <v>56.0</v>
      </c>
      <c r="P12" s="23">
        <v>25.0</v>
      </c>
      <c r="Q12" s="23">
        <v>23.0</v>
      </c>
      <c r="R12" s="23">
        <v>45.0</v>
      </c>
      <c r="S12" s="23">
        <v>66.0</v>
      </c>
      <c r="T12" s="23">
        <v>104.0</v>
      </c>
      <c r="U12" s="35">
        <f t="shared" si="4"/>
        <v>139</v>
      </c>
      <c r="V12" s="35">
        <f t="shared" si="5"/>
        <v>23</v>
      </c>
      <c r="W12" s="56">
        <f t="shared" si="6"/>
        <v>74.77777778</v>
      </c>
      <c r="X12" s="36">
        <f t="shared" si="7"/>
        <v>23</v>
      </c>
      <c r="Y12" s="36" t="str">
        <f t="shared" si="8"/>
        <v>&lt;</v>
      </c>
      <c r="Z12" s="36">
        <f t="shared" si="9"/>
        <v>37.38888889</v>
      </c>
      <c r="AA12" s="42">
        <v>100.0</v>
      </c>
      <c r="AB12" s="39" t="str">
        <f t="shared" si="10"/>
        <v>NO</v>
      </c>
      <c r="AC12" s="39" t="str">
        <f t="shared" si="11"/>
        <v>NO</v>
      </c>
      <c r="AD12" s="40" t="str">
        <f t="shared" si="12"/>
        <v>1</v>
      </c>
      <c r="AE12" s="40" t="str">
        <f t="shared" si="13"/>
        <v>1</v>
      </c>
    </row>
    <row r="13" ht="24.0" customHeight="1">
      <c r="A13" s="1"/>
      <c r="B13" s="33">
        <v>6.0</v>
      </c>
      <c r="C13" s="41" t="s">
        <v>30</v>
      </c>
      <c r="D13" s="33">
        <v>3.61</v>
      </c>
      <c r="E13" s="33">
        <v>6.15</v>
      </c>
      <c r="F13" s="33">
        <v>2.88</v>
      </c>
      <c r="G13" s="34">
        <f t="shared" si="14"/>
        <v>0.7898416154</v>
      </c>
      <c r="H13" s="33">
        <v>1.0</v>
      </c>
      <c r="I13" s="33">
        <v>2.0</v>
      </c>
      <c r="J13" s="33">
        <f t="shared" si="15"/>
        <v>3</v>
      </c>
      <c r="K13" s="33">
        <f t="shared" si="16"/>
        <v>9</v>
      </c>
      <c r="L13" s="23">
        <v>123.0</v>
      </c>
      <c r="M13" s="23">
        <v>126.0</v>
      </c>
      <c r="N13" s="23">
        <v>131.0</v>
      </c>
      <c r="O13" s="23">
        <v>172.0</v>
      </c>
      <c r="P13" s="23">
        <v>90.0</v>
      </c>
      <c r="Q13" s="23">
        <v>141.0</v>
      </c>
      <c r="R13" s="23">
        <v>127.0</v>
      </c>
      <c r="S13" s="23">
        <v>100.0</v>
      </c>
      <c r="T13" s="23">
        <v>142.0</v>
      </c>
      <c r="U13" s="35">
        <f t="shared" si="4"/>
        <v>172</v>
      </c>
      <c r="V13" s="35">
        <f t="shared" si="5"/>
        <v>90</v>
      </c>
      <c r="W13" s="56">
        <f t="shared" si="6"/>
        <v>128</v>
      </c>
      <c r="X13" s="36">
        <f t="shared" si="7"/>
        <v>90</v>
      </c>
      <c r="Y13" s="36" t="str">
        <f t="shared" si="8"/>
        <v>&gt;</v>
      </c>
      <c r="Z13" s="36">
        <f t="shared" si="9"/>
        <v>64</v>
      </c>
      <c r="AA13" s="42">
        <v>500.0</v>
      </c>
      <c r="AB13" s="39" t="str">
        <f t="shared" si="10"/>
        <v>SI</v>
      </c>
      <c r="AC13" s="39" t="str">
        <f t="shared" si="11"/>
        <v>NO</v>
      </c>
      <c r="AD13" s="40" t="str">
        <f t="shared" si="12"/>
        <v>0</v>
      </c>
      <c r="AE13" s="40" t="str">
        <f t="shared" si="13"/>
        <v>1</v>
      </c>
    </row>
    <row r="14" ht="24.0" customHeight="1">
      <c r="A14" s="1"/>
      <c r="B14" s="33">
        <v>7.0</v>
      </c>
      <c r="C14" s="41" t="s">
        <v>31</v>
      </c>
      <c r="D14" s="33" t="s">
        <v>28</v>
      </c>
      <c r="E14" s="33" t="s">
        <v>28</v>
      </c>
      <c r="F14" s="33" t="s">
        <v>28</v>
      </c>
      <c r="G14" s="43" t="s">
        <v>28</v>
      </c>
      <c r="H14" s="33" t="s">
        <v>28</v>
      </c>
      <c r="I14" s="33" t="s">
        <v>28</v>
      </c>
      <c r="J14" s="33" t="s">
        <v>28</v>
      </c>
      <c r="K14" s="33" t="s">
        <v>28</v>
      </c>
      <c r="L14" s="23">
        <v>35.0</v>
      </c>
      <c r="M14" s="23">
        <v>40.0</v>
      </c>
      <c r="N14" s="33" t="s">
        <v>28</v>
      </c>
      <c r="O14" s="33" t="s">
        <v>28</v>
      </c>
      <c r="P14" s="33" t="s">
        <v>28</v>
      </c>
      <c r="Q14" s="33" t="s">
        <v>28</v>
      </c>
      <c r="R14" s="33" t="s">
        <v>28</v>
      </c>
      <c r="S14" s="33" t="s">
        <v>28</v>
      </c>
      <c r="T14" s="33" t="s">
        <v>28</v>
      </c>
      <c r="U14" s="35">
        <f t="shared" si="4"/>
        <v>40</v>
      </c>
      <c r="V14" s="35">
        <f t="shared" si="5"/>
        <v>35</v>
      </c>
      <c r="W14" s="56">
        <f t="shared" si="6"/>
        <v>37.5</v>
      </c>
      <c r="X14" s="36">
        <f t="shared" si="7"/>
        <v>35</v>
      </c>
      <c r="Y14" s="36" t="str">
        <f t="shared" si="8"/>
        <v>&gt;</v>
      </c>
      <c r="Z14" s="36">
        <f t="shared" si="9"/>
        <v>18.75</v>
      </c>
      <c r="AA14" s="42">
        <v>100.0</v>
      </c>
      <c r="AB14" s="39" t="str">
        <f t="shared" si="10"/>
        <v>SI</v>
      </c>
      <c r="AC14" s="39" t="str">
        <f t="shared" si="11"/>
        <v>NO</v>
      </c>
      <c r="AD14" s="40" t="str">
        <f t="shared" si="12"/>
        <v>0</v>
      </c>
      <c r="AE14" s="40" t="str">
        <f t="shared" si="13"/>
        <v>1</v>
      </c>
    </row>
    <row r="15" ht="24.0" customHeight="1">
      <c r="A15" s="1"/>
      <c r="B15" s="31">
        <v>8.0</v>
      </c>
      <c r="C15" s="41" t="s">
        <v>32</v>
      </c>
      <c r="D15" s="33">
        <v>15.51</v>
      </c>
      <c r="E15" s="33">
        <v>5.08</v>
      </c>
      <c r="F15" s="33">
        <v>4.53</v>
      </c>
      <c r="G15" s="34">
        <f t="shared" ref="G15:G16" si="17">+(D15*E15)/(F15*(D15+E15))</f>
        <v>0.8447359195</v>
      </c>
      <c r="H15" s="33">
        <v>1.0</v>
      </c>
      <c r="I15" s="33">
        <v>2.0</v>
      </c>
      <c r="J15" s="33">
        <f t="shared" ref="J15:J16" si="18">+H15+I15</f>
        <v>3</v>
      </c>
      <c r="K15" s="33">
        <f t="shared" ref="K15:K16" si="19">POWER(J15,2)</f>
        <v>9</v>
      </c>
      <c r="L15" s="23">
        <v>170.0</v>
      </c>
      <c r="M15" s="23">
        <v>187.0</v>
      </c>
      <c r="N15" s="23">
        <v>191.0</v>
      </c>
      <c r="O15" s="23">
        <v>199.0</v>
      </c>
      <c r="P15" s="23">
        <v>183.0</v>
      </c>
      <c r="Q15" s="23">
        <v>178.0</v>
      </c>
      <c r="R15" s="23">
        <v>169.0</v>
      </c>
      <c r="S15" s="23">
        <v>162.0</v>
      </c>
      <c r="T15" s="23">
        <v>140.0</v>
      </c>
      <c r="U15" s="35">
        <f t="shared" si="4"/>
        <v>199</v>
      </c>
      <c r="V15" s="35">
        <f t="shared" si="5"/>
        <v>140</v>
      </c>
      <c r="W15" s="56">
        <f t="shared" si="6"/>
        <v>175.4444444</v>
      </c>
      <c r="X15" s="36">
        <f t="shared" si="7"/>
        <v>140</v>
      </c>
      <c r="Y15" s="36" t="str">
        <f t="shared" si="8"/>
        <v>&gt;</v>
      </c>
      <c r="Z15" s="36">
        <f t="shared" si="9"/>
        <v>87.72222222</v>
      </c>
      <c r="AA15" s="42">
        <v>200.0</v>
      </c>
      <c r="AB15" s="39" t="str">
        <f t="shared" si="10"/>
        <v>SI</v>
      </c>
      <c r="AC15" s="39" t="str">
        <f t="shared" si="11"/>
        <v>NO</v>
      </c>
      <c r="AD15" s="40" t="str">
        <f t="shared" si="12"/>
        <v>0</v>
      </c>
      <c r="AE15" s="40" t="str">
        <f t="shared" si="13"/>
        <v>1</v>
      </c>
    </row>
    <row r="16" ht="24.0" customHeight="1">
      <c r="A16" s="1"/>
      <c r="B16" s="21">
        <v>9.0</v>
      </c>
      <c r="C16" s="21" t="s">
        <v>33</v>
      </c>
      <c r="D16" s="21">
        <v>10.08</v>
      </c>
      <c r="E16" s="21">
        <v>14.52</v>
      </c>
      <c r="F16" s="21">
        <v>2.94</v>
      </c>
      <c r="G16" s="21">
        <f t="shared" si="17"/>
        <v>2.02369338</v>
      </c>
      <c r="H16" s="21">
        <v>2.0</v>
      </c>
      <c r="I16" s="21">
        <v>2.0</v>
      </c>
      <c r="J16" s="21">
        <f t="shared" si="18"/>
        <v>4</v>
      </c>
      <c r="K16" s="21">
        <f t="shared" si="19"/>
        <v>16</v>
      </c>
      <c r="L16" s="23">
        <v>99.0</v>
      </c>
      <c r="M16" s="23">
        <v>175.0</v>
      </c>
      <c r="N16" s="23">
        <v>141.0</v>
      </c>
      <c r="O16" s="23">
        <v>152.0</v>
      </c>
      <c r="P16" s="23">
        <v>188.0</v>
      </c>
      <c r="Q16" s="23">
        <v>145.0</v>
      </c>
      <c r="R16" s="23">
        <v>156.0</v>
      </c>
      <c r="S16" s="23">
        <v>182.0</v>
      </c>
      <c r="T16" s="23">
        <v>109.0</v>
      </c>
      <c r="U16" s="35">
        <f t="shared" si="4"/>
        <v>188</v>
      </c>
      <c r="V16" s="35">
        <f t="shared" si="5"/>
        <v>99</v>
      </c>
      <c r="W16" s="57">
        <f>AVERAGE(L16:T17)</f>
        <v>149.5625</v>
      </c>
      <c r="X16" s="57">
        <f>MIN(L16:T17)</f>
        <v>86</v>
      </c>
      <c r="Y16" s="57" t="str">
        <f t="shared" si="8"/>
        <v>&gt;</v>
      </c>
      <c r="Z16" s="57">
        <f t="shared" si="9"/>
        <v>74.78125</v>
      </c>
      <c r="AA16" s="57">
        <v>300.0</v>
      </c>
      <c r="AB16" s="26" t="str">
        <f t="shared" si="10"/>
        <v>SI</v>
      </c>
      <c r="AC16" s="26" t="str">
        <f t="shared" si="11"/>
        <v>NO</v>
      </c>
      <c r="AD16" s="40" t="str">
        <f t="shared" si="12"/>
        <v>0</v>
      </c>
      <c r="AE16" s="40" t="str">
        <f t="shared" si="13"/>
        <v>1</v>
      </c>
    </row>
    <row r="17" ht="24.0" customHeight="1">
      <c r="A17" s="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3">
        <v>86.0</v>
      </c>
      <c r="M17" s="23">
        <v>155.0</v>
      </c>
      <c r="N17" s="23">
        <v>148.0</v>
      </c>
      <c r="O17" s="23">
        <v>197.0</v>
      </c>
      <c r="P17" s="23">
        <v>157.0</v>
      </c>
      <c r="Q17" s="23">
        <v>147.0</v>
      </c>
      <c r="R17" s="23">
        <v>156.0</v>
      </c>
      <c r="S17" s="33" t="s">
        <v>28</v>
      </c>
      <c r="T17" s="33" t="s">
        <v>28</v>
      </c>
      <c r="U17" s="35"/>
      <c r="V17" s="35"/>
      <c r="W17" s="15"/>
      <c r="X17" s="15"/>
      <c r="Y17" s="15"/>
      <c r="Z17" s="15"/>
      <c r="AA17" s="15"/>
      <c r="AB17" s="15"/>
      <c r="AC17" s="15"/>
      <c r="AD17" s="40"/>
      <c r="AE17" s="40"/>
    </row>
    <row r="18" ht="24.0" customHeight="1">
      <c r="A18" s="1"/>
      <c r="B18" s="33">
        <v>10.0</v>
      </c>
      <c r="C18" s="41" t="s">
        <v>34</v>
      </c>
      <c r="D18" s="33">
        <v>3.83</v>
      </c>
      <c r="E18" s="33">
        <v>6.2</v>
      </c>
      <c r="F18" s="33">
        <v>2.94</v>
      </c>
      <c r="G18" s="34">
        <f t="shared" ref="G18:G30" si="20">+(D18*E18)/(F18*(D18+E18))</f>
        <v>0.805271261</v>
      </c>
      <c r="H18" s="33">
        <v>1.0</v>
      </c>
      <c r="I18" s="33">
        <v>2.0</v>
      </c>
      <c r="J18" s="33">
        <f t="shared" ref="J18:J30" si="21">+H18+I18</f>
        <v>3</v>
      </c>
      <c r="K18" s="33">
        <f t="shared" ref="K18:K30" si="22">POWER(J18,2)</f>
        <v>9</v>
      </c>
      <c r="L18" s="23">
        <v>79.0</v>
      </c>
      <c r="M18" s="23">
        <v>102.0</v>
      </c>
      <c r="N18" s="23">
        <v>70.0</v>
      </c>
      <c r="O18" s="33" t="s">
        <v>28</v>
      </c>
      <c r="P18" s="33" t="s">
        <v>28</v>
      </c>
      <c r="Q18" s="33" t="s">
        <v>28</v>
      </c>
      <c r="R18" s="33" t="s">
        <v>28</v>
      </c>
      <c r="S18" s="33" t="s">
        <v>28</v>
      </c>
      <c r="T18" s="33" t="s">
        <v>28</v>
      </c>
      <c r="U18" s="35">
        <f t="shared" ref="U18:U33" si="23">MAX(L18:T18)</f>
        <v>102</v>
      </c>
      <c r="V18" s="35">
        <f t="shared" ref="V18:V33" si="24">MIN(L18:T18)</f>
        <v>70</v>
      </c>
      <c r="W18" s="56">
        <f t="shared" ref="W18:W33" si="25">AVERAGE(L18:T18)</f>
        <v>83.66666667</v>
      </c>
      <c r="X18" s="36">
        <f t="shared" ref="X18:X33" si="26">MIN(L18:T18)</f>
        <v>70</v>
      </c>
      <c r="Y18" s="36" t="str">
        <f t="shared" ref="Y18:Y33" si="27">IF(X18&gt;Z18,"&gt;","&lt;")</f>
        <v>&gt;</v>
      </c>
      <c r="Z18" s="36">
        <f t="shared" ref="Z18:Z33" si="28">+W18/2</f>
        <v>41.83333333</v>
      </c>
      <c r="AA18" s="42">
        <v>100.0</v>
      </c>
      <c r="AB18" s="39" t="str">
        <f t="shared" ref="AB18:AB33" si="29">IF(X18&gt;Z18,"SI","NO")</f>
        <v>SI</v>
      </c>
      <c r="AC18" s="39" t="str">
        <f t="shared" ref="AC18:AC33" si="30">IF(W18&gt;AA18,"SI","NO")</f>
        <v>NO</v>
      </c>
      <c r="AD18" s="40" t="str">
        <f t="shared" ref="AD18:AD61" si="31">IF(AB18=AE$2,"1","0")</f>
        <v>0</v>
      </c>
      <c r="AE18" s="40" t="str">
        <f t="shared" ref="AE18:AE61" si="32">IF(AC18=AE$2,"1","0")</f>
        <v>1</v>
      </c>
    </row>
    <row r="19" ht="24.0" customHeight="1">
      <c r="A19" s="1"/>
      <c r="B19" s="31">
        <v>11.0</v>
      </c>
      <c r="C19" s="41" t="s">
        <v>35</v>
      </c>
      <c r="D19" s="33">
        <v>3.83</v>
      </c>
      <c r="E19" s="33">
        <v>4.03</v>
      </c>
      <c r="F19" s="33">
        <v>2.94</v>
      </c>
      <c r="G19" s="34">
        <f t="shared" si="20"/>
        <v>0.6679346039</v>
      </c>
      <c r="H19" s="33">
        <v>1.0</v>
      </c>
      <c r="I19" s="33">
        <v>2.0</v>
      </c>
      <c r="J19" s="33">
        <f t="shared" si="21"/>
        <v>3</v>
      </c>
      <c r="K19" s="33">
        <f t="shared" si="22"/>
        <v>9</v>
      </c>
      <c r="L19" s="23">
        <v>39.0</v>
      </c>
      <c r="M19" s="23">
        <v>26.0</v>
      </c>
      <c r="N19" s="23">
        <v>19.0</v>
      </c>
      <c r="O19" s="23">
        <v>31.0</v>
      </c>
      <c r="P19" s="23">
        <v>33.0</v>
      </c>
      <c r="Q19" s="23">
        <v>26.0</v>
      </c>
      <c r="R19" s="23">
        <v>37.0</v>
      </c>
      <c r="S19" s="23">
        <v>26.0</v>
      </c>
      <c r="T19" s="23">
        <v>49.0</v>
      </c>
      <c r="U19" s="35">
        <f t="shared" si="23"/>
        <v>49</v>
      </c>
      <c r="V19" s="35">
        <f t="shared" si="24"/>
        <v>19</v>
      </c>
      <c r="W19" s="56">
        <f t="shared" si="25"/>
        <v>31.77777778</v>
      </c>
      <c r="X19" s="36">
        <f t="shared" si="26"/>
        <v>19</v>
      </c>
      <c r="Y19" s="36" t="str">
        <f t="shared" si="27"/>
        <v>&gt;</v>
      </c>
      <c r="Z19" s="36">
        <f t="shared" si="28"/>
        <v>15.88888889</v>
      </c>
      <c r="AA19" s="42">
        <v>50.0</v>
      </c>
      <c r="AB19" s="39" t="str">
        <f t="shared" si="29"/>
        <v>SI</v>
      </c>
      <c r="AC19" s="39" t="str">
        <f t="shared" si="30"/>
        <v>NO</v>
      </c>
      <c r="AD19" s="40" t="str">
        <f t="shared" si="31"/>
        <v>0</v>
      </c>
      <c r="AE19" s="40" t="str">
        <f t="shared" si="32"/>
        <v>1</v>
      </c>
    </row>
    <row r="20" ht="24.0" customHeight="1">
      <c r="A20" s="1"/>
      <c r="B20" s="33">
        <v>12.0</v>
      </c>
      <c r="C20" s="41" t="s">
        <v>36</v>
      </c>
      <c r="D20" s="33">
        <v>2.97</v>
      </c>
      <c r="E20" s="33">
        <v>3.89</v>
      </c>
      <c r="F20" s="33">
        <v>2.94</v>
      </c>
      <c r="G20" s="34">
        <f t="shared" si="20"/>
        <v>0.5728416731</v>
      </c>
      <c r="H20" s="33">
        <v>1.0</v>
      </c>
      <c r="I20" s="33">
        <v>2.0</v>
      </c>
      <c r="J20" s="33">
        <f t="shared" si="21"/>
        <v>3</v>
      </c>
      <c r="K20" s="33">
        <f t="shared" si="22"/>
        <v>9</v>
      </c>
      <c r="L20" s="23">
        <v>76.0</v>
      </c>
      <c r="M20" s="23">
        <v>83.0</v>
      </c>
      <c r="N20" s="23">
        <v>92.0</v>
      </c>
      <c r="O20" s="23">
        <v>98.0</v>
      </c>
      <c r="P20" s="23">
        <v>100.0</v>
      </c>
      <c r="Q20" s="23">
        <v>80.0</v>
      </c>
      <c r="R20" s="23">
        <v>121.0</v>
      </c>
      <c r="S20" s="23">
        <v>124.0</v>
      </c>
      <c r="T20" s="23">
        <v>100.0</v>
      </c>
      <c r="U20" s="35">
        <f t="shared" si="23"/>
        <v>124</v>
      </c>
      <c r="V20" s="35">
        <f t="shared" si="24"/>
        <v>76</v>
      </c>
      <c r="W20" s="56">
        <f t="shared" si="25"/>
        <v>97.11111111</v>
      </c>
      <c r="X20" s="36">
        <f t="shared" si="26"/>
        <v>76</v>
      </c>
      <c r="Y20" s="36" t="str">
        <f t="shared" si="27"/>
        <v>&gt;</v>
      </c>
      <c r="Z20" s="36">
        <f t="shared" si="28"/>
        <v>48.55555556</v>
      </c>
      <c r="AA20" s="42">
        <v>50.0</v>
      </c>
      <c r="AB20" s="39" t="str">
        <f t="shared" si="29"/>
        <v>SI</v>
      </c>
      <c r="AC20" s="39" t="str">
        <f t="shared" si="30"/>
        <v>SI</v>
      </c>
      <c r="AD20" s="40" t="str">
        <f t="shared" si="31"/>
        <v>0</v>
      </c>
      <c r="AE20" s="40" t="str">
        <f t="shared" si="32"/>
        <v>0</v>
      </c>
    </row>
    <row r="21" ht="24.0" customHeight="1">
      <c r="A21" s="1"/>
      <c r="B21" s="33">
        <v>13.0</v>
      </c>
      <c r="C21" s="41" t="s">
        <v>37</v>
      </c>
      <c r="D21" s="33">
        <v>2.56</v>
      </c>
      <c r="E21" s="33">
        <v>3.05</v>
      </c>
      <c r="F21" s="33">
        <v>2.94</v>
      </c>
      <c r="G21" s="34">
        <f t="shared" si="20"/>
        <v>0.4734014818</v>
      </c>
      <c r="H21" s="33">
        <v>1.0</v>
      </c>
      <c r="I21" s="33">
        <v>2.0</v>
      </c>
      <c r="J21" s="33">
        <f t="shared" si="21"/>
        <v>3</v>
      </c>
      <c r="K21" s="33">
        <f t="shared" si="22"/>
        <v>9</v>
      </c>
      <c r="L21" s="23">
        <v>286.0</v>
      </c>
      <c r="M21" s="23">
        <v>295.0</v>
      </c>
      <c r="N21" s="23">
        <v>287.0</v>
      </c>
      <c r="O21" s="23">
        <v>270.0</v>
      </c>
      <c r="P21" s="23">
        <v>290.0</v>
      </c>
      <c r="Q21" s="23">
        <v>250.0</v>
      </c>
      <c r="R21" s="23">
        <v>265.0</v>
      </c>
      <c r="S21" s="23">
        <v>296.0</v>
      </c>
      <c r="T21" s="23">
        <v>305.0</v>
      </c>
      <c r="U21" s="35">
        <f t="shared" si="23"/>
        <v>305</v>
      </c>
      <c r="V21" s="35">
        <f t="shared" si="24"/>
        <v>250</v>
      </c>
      <c r="W21" s="56">
        <f t="shared" si="25"/>
        <v>282.6666667</v>
      </c>
      <c r="X21" s="36">
        <f t="shared" si="26"/>
        <v>250</v>
      </c>
      <c r="Y21" s="36" t="str">
        <f t="shared" si="27"/>
        <v>&gt;</v>
      </c>
      <c r="Z21" s="36">
        <f t="shared" si="28"/>
        <v>141.3333333</v>
      </c>
      <c r="AA21" s="42">
        <v>300.0</v>
      </c>
      <c r="AB21" s="39" t="str">
        <f t="shared" si="29"/>
        <v>SI</v>
      </c>
      <c r="AC21" s="39" t="str">
        <f t="shared" si="30"/>
        <v>NO</v>
      </c>
      <c r="AD21" s="40" t="str">
        <f t="shared" si="31"/>
        <v>0</v>
      </c>
      <c r="AE21" s="40" t="str">
        <f t="shared" si="32"/>
        <v>1</v>
      </c>
    </row>
    <row r="22" ht="24.0" customHeight="1">
      <c r="A22" s="1"/>
      <c r="B22" s="31">
        <v>14.0</v>
      </c>
      <c r="C22" s="41" t="s">
        <v>38</v>
      </c>
      <c r="D22" s="33">
        <v>4.23</v>
      </c>
      <c r="E22" s="33">
        <v>3.71</v>
      </c>
      <c r="F22" s="33">
        <v>2.94</v>
      </c>
      <c r="G22" s="34">
        <f t="shared" si="20"/>
        <v>0.6722741994</v>
      </c>
      <c r="H22" s="33">
        <v>1.0</v>
      </c>
      <c r="I22" s="33">
        <v>2.0</v>
      </c>
      <c r="J22" s="33">
        <f t="shared" si="21"/>
        <v>3</v>
      </c>
      <c r="K22" s="33">
        <f t="shared" si="22"/>
        <v>9</v>
      </c>
      <c r="L22" s="23">
        <v>72.0</v>
      </c>
      <c r="M22" s="23">
        <v>110.0</v>
      </c>
      <c r="N22" s="23">
        <v>84.0</v>
      </c>
      <c r="O22" s="23">
        <v>100.0</v>
      </c>
      <c r="P22" s="23">
        <v>94.0</v>
      </c>
      <c r="Q22" s="23">
        <v>145.0</v>
      </c>
      <c r="R22" s="23">
        <v>121.0</v>
      </c>
      <c r="S22" s="23">
        <v>120.0</v>
      </c>
      <c r="T22" s="23">
        <v>155.0</v>
      </c>
      <c r="U22" s="35">
        <f t="shared" si="23"/>
        <v>155</v>
      </c>
      <c r="V22" s="35">
        <f t="shared" si="24"/>
        <v>72</v>
      </c>
      <c r="W22" s="56">
        <f t="shared" si="25"/>
        <v>111.2222222</v>
      </c>
      <c r="X22" s="36">
        <f t="shared" si="26"/>
        <v>72</v>
      </c>
      <c r="Y22" s="36" t="str">
        <f t="shared" si="27"/>
        <v>&gt;</v>
      </c>
      <c r="Z22" s="36">
        <f t="shared" si="28"/>
        <v>55.61111111</v>
      </c>
      <c r="AA22" s="42">
        <v>300.0</v>
      </c>
      <c r="AB22" s="39" t="str">
        <f t="shared" si="29"/>
        <v>SI</v>
      </c>
      <c r="AC22" s="39" t="str">
        <f t="shared" si="30"/>
        <v>NO</v>
      </c>
      <c r="AD22" s="40" t="str">
        <f t="shared" si="31"/>
        <v>0</v>
      </c>
      <c r="AE22" s="40" t="str">
        <f t="shared" si="32"/>
        <v>1</v>
      </c>
    </row>
    <row r="23" ht="24.0" customHeight="1">
      <c r="A23" s="1"/>
      <c r="B23" s="33">
        <v>15.0</v>
      </c>
      <c r="C23" s="41" t="s">
        <v>39</v>
      </c>
      <c r="D23" s="33">
        <v>5.75</v>
      </c>
      <c r="E23" s="33">
        <v>2.79</v>
      </c>
      <c r="F23" s="33">
        <v>2.94</v>
      </c>
      <c r="G23" s="34">
        <f t="shared" si="20"/>
        <v>0.6389499594</v>
      </c>
      <c r="H23" s="33">
        <v>1.0</v>
      </c>
      <c r="I23" s="33">
        <v>2.0</v>
      </c>
      <c r="J23" s="33">
        <f t="shared" si="21"/>
        <v>3</v>
      </c>
      <c r="K23" s="33">
        <f t="shared" si="22"/>
        <v>9</v>
      </c>
      <c r="L23" s="23">
        <v>209.0</v>
      </c>
      <c r="M23" s="23">
        <v>168.0</v>
      </c>
      <c r="N23" s="23">
        <v>179.0</v>
      </c>
      <c r="O23" s="23">
        <v>90.0</v>
      </c>
      <c r="P23" s="23">
        <v>162.0</v>
      </c>
      <c r="Q23" s="23">
        <v>174.0</v>
      </c>
      <c r="R23" s="23">
        <v>176.0</v>
      </c>
      <c r="S23" s="23">
        <v>192.0</v>
      </c>
      <c r="T23" s="23">
        <v>209.0</v>
      </c>
      <c r="U23" s="35">
        <f t="shared" si="23"/>
        <v>209</v>
      </c>
      <c r="V23" s="35">
        <f t="shared" si="24"/>
        <v>90</v>
      </c>
      <c r="W23" s="56">
        <f t="shared" si="25"/>
        <v>173.2222222</v>
      </c>
      <c r="X23" s="36">
        <f t="shared" si="26"/>
        <v>90</v>
      </c>
      <c r="Y23" s="36" t="str">
        <f t="shared" si="27"/>
        <v>&gt;</v>
      </c>
      <c r="Z23" s="36">
        <f t="shared" si="28"/>
        <v>86.61111111</v>
      </c>
      <c r="AA23" s="42">
        <v>300.0</v>
      </c>
      <c r="AB23" s="39" t="str">
        <f t="shared" si="29"/>
        <v>SI</v>
      </c>
      <c r="AC23" s="39" t="str">
        <f t="shared" si="30"/>
        <v>NO</v>
      </c>
      <c r="AD23" s="40" t="str">
        <f t="shared" si="31"/>
        <v>0</v>
      </c>
      <c r="AE23" s="40" t="str">
        <f t="shared" si="32"/>
        <v>1</v>
      </c>
    </row>
    <row r="24" ht="24.0" customHeight="1">
      <c r="A24" s="1"/>
      <c r="B24" s="33">
        <v>16.0</v>
      </c>
      <c r="C24" s="41" t="s">
        <v>40</v>
      </c>
      <c r="D24" s="33">
        <v>3.97</v>
      </c>
      <c r="E24" s="33">
        <v>3.66</v>
      </c>
      <c r="F24" s="33">
        <v>2.94</v>
      </c>
      <c r="G24" s="34">
        <f t="shared" si="20"/>
        <v>0.6477385187</v>
      </c>
      <c r="H24" s="33">
        <v>1.0</v>
      </c>
      <c r="I24" s="33">
        <v>2.0</v>
      </c>
      <c r="J24" s="33">
        <f t="shared" si="21"/>
        <v>3</v>
      </c>
      <c r="K24" s="33">
        <f t="shared" si="22"/>
        <v>9</v>
      </c>
      <c r="L24" s="23">
        <v>58.0</v>
      </c>
      <c r="M24" s="23">
        <v>50.0</v>
      </c>
      <c r="N24" s="23">
        <v>63.0</v>
      </c>
      <c r="O24" s="23">
        <v>64.0</v>
      </c>
      <c r="P24" s="23">
        <v>70.0</v>
      </c>
      <c r="Q24" s="23">
        <v>112.0</v>
      </c>
      <c r="R24" s="23">
        <v>116.0</v>
      </c>
      <c r="S24" s="23">
        <v>92.0</v>
      </c>
      <c r="T24" s="23">
        <v>100.0</v>
      </c>
      <c r="U24" s="35">
        <f t="shared" si="23"/>
        <v>116</v>
      </c>
      <c r="V24" s="35">
        <f t="shared" si="24"/>
        <v>50</v>
      </c>
      <c r="W24" s="56">
        <f t="shared" si="25"/>
        <v>80.55555556</v>
      </c>
      <c r="X24" s="36">
        <f t="shared" si="26"/>
        <v>50</v>
      </c>
      <c r="Y24" s="36" t="str">
        <f t="shared" si="27"/>
        <v>&gt;</v>
      </c>
      <c r="Z24" s="36">
        <f t="shared" si="28"/>
        <v>40.27777778</v>
      </c>
      <c r="AA24" s="42">
        <v>50.0</v>
      </c>
      <c r="AB24" s="39" t="str">
        <f t="shared" si="29"/>
        <v>SI</v>
      </c>
      <c r="AC24" s="39" t="str">
        <f t="shared" si="30"/>
        <v>SI</v>
      </c>
      <c r="AD24" s="40" t="str">
        <f t="shared" si="31"/>
        <v>0</v>
      </c>
      <c r="AE24" s="40" t="str">
        <f t="shared" si="32"/>
        <v>0</v>
      </c>
    </row>
    <row r="25" ht="24.0" customHeight="1">
      <c r="A25" s="1"/>
      <c r="B25" s="31">
        <v>17.0</v>
      </c>
      <c r="C25" s="41" t="s">
        <v>41</v>
      </c>
      <c r="D25" s="33">
        <v>7.11</v>
      </c>
      <c r="E25" s="33">
        <v>3.53</v>
      </c>
      <c r="F25" s="33">
        <v>2.94</v>
      </c>
      <c r="G25" s="34">
        <f t="shared" si="20"/>
        <v>0.8023342796</v>
      </c>
      <c r="H25" s="33">
        <v>1.0</v>
      </c>
      <c r="I25" s="33">
        <v>2.0</v>
      </c>
      <c r="J25" s="33">
        <f t="shared" si="21"/>
        <v>3</v>
      </c>
      <c r="K25" s="33">
        <f t="shared" si="22"/>
        <v>9</v>
      </c>
      <c r="L25" s="23">
        <v>202.0</v>
      </c>
      <c r="M25" s="23">
        <v>179.0</v>
      </c>
      <c r="N25" s="23">
        <v>194.0</v>
      </c>
      <c r="O25" s="23">
        <v>208.0</v>
      </c>
      <c r="P25" s="23">
        <v>291.0</v>
      </c>
      <c r="Q25" s="23">
        <v>170.0</v>
      </c>
      <c r="R25" s="23">
        <v>225.0</v>
      </c>
      <c r="S25" s="23">
        <v>160.0</v>
      </c>
      <c r="T25" s="23">
        <v>270.0</v>
      </c>
      <c r="U25" s="35">
        <f t="shared" si="23"/>
        <v>291</v>
      </c>
      <c r="V25" s="35">
        <f t="shared" si="24"/>
        <v>160</v>
      </c>
      <c r="W25" s="56">
        <f t="shared" si="25"/>
        <v>211</v>
      </c>
      <c r="X25" s="36">
        <f t="shared" si="26"/>
        <v>160</v>
      </c>
      <c r="Y25" s="36" t="str">
        <f t="shared" si="27"/>
        <v>&gt;</v>
      </c>
      <c r="Z25" s="36">
        <f t="shared" si="28"/>
        <v>105.5</v>
      </c>
      <c r="AA25" s="42">
        <v>50.0</v>
      </c>
      <c r="AB25" s="39" t="str">
        <f t="shared" si="29"/>
        <v>SI</v>
      </c>
      <c r="AC25" s="39" t="str">
        <f t="shared" si="30"/>
        <v>SI</v>
      </c>
      <c r="AD25" s="40" t="str">
        <f t="shared" si="31"/>
        <v>0</v>
      </c>
      <c r="AE25" s="40" t="str">
        <f t="shared" si="32"/>
        <v>0</v>
      </c>
    </row>
    <row r="26" ht="24.0" customHeight="1">
      <c r="A26" s="1"/>
      <c r="B26" s="33">
        <v>18.0</v>
      </c>
      <c r="C26" s="41" t="s">
        <v>42</v>
      </c>
      <c r="D26" s="33">
        <v>4.12</v>
      </c>
      <c r="E26" s="33">
        <v>3.32</v>
      </c>
      <c r="F26" s="33">
        <v>2.94</v>
      </c>
      <c r="G26" s="34">
        <f t="shared" si="20"/>
        <v>0.6253383074</v>
      </c>
      <c r="H26" s="33">
        <v>1.0</v>
      </c>
      <c r="I26" s="33">
        <v>2.0</v>
      </c>
      <c r="J26" s="33">
        <f t="shared" si="21"/>
        <v>3</v>
      </c>
      <c r="K26" s="33">
        <f t="shared" si="22"/>
        <v>9</v>
      </c>
      <c r="L26" s="23">
        <v>138.0</v>
      </c>
      <c r="M26" s="23">
        <v>170.0</v>
      </c>
      <c r="N26" s="23">
        <v>160.0</v>
      </c>
      <c r="O26" s="23">
        <v>70.0</v>
      </c>
      <c r="P26" s="23">
        <v>65.0</v>
      </c>
      <c r="Q26" s="23">
        <v>120.0</v>
      </c>
      <c r="R26" s="23">
        <v>76.0</v>
      </c>
      <c r="S26" s="23">
        <v>126.0</v>
      </c>
      <c r="T26" s="23">
        <v>80.0</v>
      </c>
      <c r="U26" s="35">
        <f t="shared" si="23"/>
        <v>170</v>
      </c>
      <c r="V26" s="35">
        <f t="shared" si="24"/>
        <v>65</v>
      </c>
      <c r="W26" s="56">
        <f t="shared" si="25"/>
        <v>111.6666667</v>
      </c>
      <c r="X26" s="36">
        <f t="shared" si="26"/>
        <v>65</v>
      </c>
      <c r="Y26" s="36" t="str">
        <f t="shared" si="27"/>
        <v>&gt;</v>
      </c>
      <c r="Z26" s="36">
        <f t="shared" si="28"/>
        <v>55.83333333</v>
      </c>
      <c r="AA26" s="42">
        <v>50.0</v>
      </c>
      <c r="AB26" s="39" t="str">
        <f t="shared" si="29"/>
        <v>SI</v>
      </c>
      <c r="AC26" s="39" t="str">
        <f t="shared" si="30"/>
        <v>SI</v>
      </c>
      <c r="AD26" s="40" t="str">
        <f t="shared" si="31"/>
        <v>0</v>
      </c>
      <c r="AE26" s="40" t="str">
        <f t="shared" si="32"/>
        <v>0</v>
      </c>
    </row>
    <row r="27" ht="24.0" customHeight="1">
      <c r="A27" s="1"/>
      <c r="B27" s="33">
        <v>19.0</v>
      </c>
      <c r="C27" s="41" t="s">
        <v>43</v>
      </c>
      <c r="D27" s="33">
        <v>3.1</v>
      </c>
      <c r="E27" s="33">
        <v>9.06</v>
      </c>
      <c r="F27" s="33">
        <v>2.94</v>
      </c>
      <c r="G27" s="34">
        <f t="shared" si="20"/>
        <v>0.7856135875</v>
      </c>
      <c r="H27" s="33">
        <v>1.0</v>
      </c>
      <c r="I27" s="33">
        <v>2.0</v>
      </c>
      <c r="J27" s="33">
        <f t="shared" si="21"/>
        <v>3</v>
      </c>
      <c r="K27" s="33">
        <f t="shared" si="22"/>
        <v>9</v>
      </c>
      <c r="L27" s="23">
        <v>13.0</v>
      </c>
      <c r="M27" s="23">
        <v>9.0</v>
      </c>
      <c r="N27" s="23">
        <v>4.0</v>
      </c>
      <c r="O27" s="23">
        <v>2.0</v>
      </c>
      <c r="P27" s="23">
        <v>3.0</v>
      </c>
      <c r="Q27" s="23">
        <v>8.0</v>
      </c>
      <c r="R27" s="23">
        <v>10.0</v>
      </c>
      <c r="S27" s="23">
        <v>12.0</v>
      </c>
      <c r="T27" s="23">
        <v>13.0</v>
      </c>
      <c r="U27" s="35">
        <f t="shared" si="23"/>
        <v>13</v>
      </c>
      <c r="V27" s="35">
        <f t="shared" si="24"/>
        <v>2</v>
      </c>
      <c r="W27" s="56">
        <f t="shared" si="25"/>
        <v>8.222222222</v>
      </c>
      <c r="X27" s="36">
        <f t="shared" si="26"/>
        <v>2</v>
      </c>
      <c r="Y27" s="36" t="str">
        <f t="shared" si="27"/>
        <v>&lt;</v>
      </c>
      <c r="Z27" s="36">
        <f t="shared" si="28"/>
        <v>4.111111111</v>
      </c>
      <c r="AA27" s="42">
        <v>50.0</v>
      </c>
      <c r="AB27" s="39" t="str">
        <f t="shared" si="29"/>
        <v>NO</v>
      </c>
      <c r="AC27" s="39" t="str">
        <f t="shared" si="30"/>
        <v>NO</v>
      </c>
      <c r="AD27" s="40" t="str">
        <f t="shared" si="31"/>
        <v>1</v>
      </c>
      <c r="AE27" s="40" t="str">
        <f t="shared" si="32"/>
        <v>1</v>
      </c>
    </row>
    <row r="28" ht="24.0" customHeight="1">
      <c r="A28" s="1"/>
      <c r="B28" s="31">
        <v>20.0</v>
      </c>
      <c r="C28" s="41" t="s">
        <v>44</v>
      </c>
      <c r="D28" s="33">
        <v>3.03</v>
      </c>
      <c r="E28" s="33">
        <v>20.87</v>
      </c>
      <c r="F28" s="33">
        <v>2.94</v>
      </c>
      <c r="G28" s="34">
        <f t="shared" si="20"/>
        <v>0.8999530356</v>
      </c>
      <c r="H28" s="33">
        <v>1.0</v>
      </c>
      <c r="I28" s="33">
        <v>2.0</v>
      </c>
      <c r="J28" s="33">
        <f t="shared" si="21"/>
        <v>3</v>
      </c>
      <c r="K28" s="33">
        <f t="shared" si="22"/>
        <v>9</v>
      </c>
      <c r="L28" s="23">
        <v>270.0</v>
      </c>
      <c r="M28" s="23">
        <v>170.0</v>
      </c>
      <c r="N28" s="23">
        <v>183.0</v>
      </c>
      <c r="O28" s="23">
        <v>192.0</v>
      </c>
      <c r="P28" s="23">
        <v>225.0</v>
      </c>
      <c r="Q28" s="23">
        <v>270.0</v>
      </c>
      <c r="R28" s="23">
        <v>257.0</v>
      </c>
      <c r="S28" s="23">
        <v>200.0</v>
      </c>
      <c r="T28" s="23">
        <v>318.0</v>
      </c>
      <c r="U28" s="35">
        <f t="shared" si="23"/>
        <v>318</v>
      </c>
      <c r="V28" s="35">
        <f t="shared" si="24"/>
        <v>170</v>
      </c>
      <c r="W28" s="56">
        <f t="shared" si="25"/>
        <v>231.6666667</v>
      </c>
      <c r="X28" s="36">
        <f t="shared" si="26"/>
        <v>170</v>
      </c>
      <c r="Y28" s="36" t="str">
        <f t="shared" si="27"/>
        <v>&gt;</v>
      </c>
      <c r="Z28" s="36">
        <f t="shared" si="28"/>
        <v>115.8333333</v>
      </c>
      <c r="AA28" s="42">
        <v>50.0</v>
      </c>
      <c r="AB28" s="39" t="str">
        <f t="shared" si="29"/>
        <v>SI</v>
      </c>
      <c r="AC28" s="39" t="str">
        <f t="shared" si="30"/>
        <v>SI</v>
      </c>
      <c r="AD28" s="40" t="str">
        <f t="shared" si="31"/>
        <v>0</v>
      </c>
      <c r="AE28" s="40" t="str">
        <f t="shared" si="32"/>
        <v>0</v>
      </c>
    </row>
    <row r="29" ht="24.0" customHeight="1">
      <c r="A29" s="1"/>
      <c r="B29" s="33">
        <v>21.0</v>
      </c>
      <c r="C29" s="41" t="s">
        <v>45</v>
      </c>
      <c r="D29" s="33">
        <v>4.22</v>
      </c>
      <c r="E29" s="33">
        <v>5.55</v>
      </c>
      <c r="F29" s="33">
        <v>2.94</v>
      </c>
      <c r="G29" s="34">
        <f t="shared" si="20"/>
        <v>0.8153865436</v>
      </c>
      <c r="H29" s="33">
        <v>1.0</v>
      </c>
      <c r="I29" s="33">
        <v>2.0</v>
      </c>
      <c r="J29" s="33">
        <f t="shared" si="21"/>
        <v>3</v>
      </c>
      <c r="K29" s="33">
        <f t="shared" si="22"/>
        <v>9</v>
      </c>
      <c r="L29" s="23">
        <v>153.0</v>
      </c>
      <c r="M29" s="23">
        <v>124.0</v>
      </c>
      <c r="N29" s="23">
        <v>105.0</v>
      </c>
      <c r="O29" s="23">
        <v>184.0</v>
      </c>
      <c r="P29" s="23">
        <v>171.0</v>
      </c>
      <c r="Q29" s="23">
        <v>188.0</v>
      </c>
      <c r="R29" s="23">
        <v>175.0</v>
      </c>
      <c r="S29" s="23">
        <v>176.0</v>
      </c>
      <c r="T29" s="23">
        <v>164.0</v>
      </c>
      <c r="U29" s="35">
        <f t="shared" si="23"/>
        <v>188</v>
      </c>
      <c r="V29" s="35">
        <f t="shared" si="24"/>
        <v>105</v>
      </c>
      <c r="W29" s="56">
        <f t="shared" si="25"/>
        <v>160</v>
      </c>
      <c r="X29" s="36">
        <f t="shared" si="26"/>
        <v>105</v>
      </c>
      <c r="Y29" s="36" t="str">
        <f t="shared" si="27"/>
        <v>&gt;</v>
      </c>
      <c r="Z29" s="36">
        <f t="shared" si="28"/>
        <v>80</v>
      </c>
      <c r="AA29" s="42">
        <v>50.0</v>
      </c>
      <c r="AB29" s="39" t="str">
        <f t="shared" si="29"/>
        <v>SI</v>
      </c>
      <c r="AC29" s="39" t="str">
        <f t="shared" si="30"/>
        <v>SI</v>
      </c>
      <c r="AD29" s="40" t="str">
        <f t="shared" si="31"/>
        <v>0</v>
      </c>
      <c r="AE29" s="40" t="str">
        <f t="shared" si="32"/>
        <v>0</v>
      </c>
    </row>
    <row r="30" ht="24.0" customHeight="1">
      <c r="A30" s="1"/>
      <c r="B30" s="33">
        <v>22.0</v>
      </c>
      <c r="C30" s="41" t="s">
        <v>46</v>
      </c>
      <c r="D30" s="33">
        <v>4.98</v>
      </c>
      <c r="E30" s="33">
        <v>8.2</v>
      </c>
      <c r="F30" s="33">
        <v>2.94</v>
      </c>
      <c r="G30" s="34">
        <f t="shared" si="20"/>
        <v>1.053854015</v>
      </c>
      <c r="H30" s="33">
        <v>1.0</v>
      </c>
      <c r="I30" s="33">
        <v>2.0</v>
      </c>
      <c r="J30" s="33">
        <f t="shared" si="21"/>
        <v>3</v>
      </c>
      <c r="K30" s="33">
        <f t="shared" si="22"/>
        <v>9</v>
      </c>
      <c r="L30" s="23">
        <v>378.0</v>
      </c>
      <c r="M30" s="23">
        <v>320.0</v>
      </c>
      <c r="N30" s="23">
        <v>418.0</v>
      </c>
      <c r="O30" s="23">
        <v>325.0</v>
      </c>
      <c r="P30" s="23">
        <v>412.0</v>
      </c>
      <c r="Q30" s="23">
        <v>315.0</v>
      </c>
      <c r="R30" s="23">
        <v>466.0</v>
      </c>
      <c r="S30" s="23">
        <v>402.0</v>
      </c>
      <c r="T30" s="23">
        <v>259.0</v>
      </c>
      <c r="U30" s="35">
        <f t="shared" si="23"/>
        <v>466</v>
      </c>
      <c r="V30" s="35">
        <f t="shared" si="24"/>
        <v>259</v>
      </c>
      <c r="W30" s="56">
        <f t="shared" si="25"/>
        <v>366.1111111</v>
      </c>
      <c r="X30" s="36">
        <f t="shared" si="26"/>
        <v>259</v>
      </c>
      <c r="Y30" s="36" t="str">
        <f t="shared" si="27"/>
        <v>&gt;</v>
      </c>
      <c r="Z30" s="36">
        <f t="shared" si="28"/>
        <v>183.0555556</v>
      </c>
      <c r="AA30" s="42">
        <v>300.0</v>
      </c>
      <c r="AB30" s="39" t="str">
        <f t="shared" si="29"/>
        <v>SI</v>
      </c>
      <c r="AC30" s="39" t="str">
        <f t="shared" si="30"/>
        <v>SI</v>
      </c>
      <c r="AD30" s="40" t="str">
        <f t="shared" si="31"/>
        <v>0</v>
      </c>
      <c r="AE30" s="40" t="str">
        <f t="shared" si="32"/>
        <v>0</v>
      </c>
    </row>
    <row r="31" ht="24.0" customHeight="1">
      <c r="A31" s="1"/>
      <c r="B31" s="31">
        <v>23.0</v>
      </c>
      <c r="C31" s="41" t="s">
        <v>47</v>
      </c>
      <c r="D31" s="33" t="s">
        <v>28</v>
      </c>
      <c r="E31" s="33" t="s">
        <v>28</v>
      </c>
      <c r="F31" s="33" t="s">
        <v>28</v>
      </c>
      <c r="G31" s="43" t="s">
        <v>28</v>
      </c>
      <c r="H31" s="33" t="s">
        <v>28</v>
      </c>
      <c r="I31" s="33" t="s">
        <v>28</v>
      </c>
      <c r="J31" s="33" t="s">
        <v>28</v>
      </c>
      <c r="K31" s="33" t="s">
        <v>28</v>
      </c>
      <c r="L31" s="23">
        <v>83.0</v>
      </c>
      <c r="M31" s="23">
        <v>103.0</v>
      </c>
      <c r="N31" s="33" t="s">
        <v>28</v>
      </c>
      <c r="O31" s="33" t="s">
        <v>28</v>
      </c>
      <c r="P31" s="33" t="s">
        <v>28</v>
      </c>
      <c r="Q31" s="33" t="s">
        <v>28</v>
      </c>
      <c r="R31" s="33" t="s">
        <v>28</v>
      </c>
      <c r="S31" s="33" t="s">
        <v>28</v>
      </c>
      <c r="T31" s="33" t="s">
        <v>28</v>
      </c>
      <c r="U31" s="35">
        <f t="shared" si="23"/>
        <v>103</v>
      </c>
      <c r="V31" s="35">
        <f t="shared" si="24"/>
        <v>83</v>
      </c>
      <c r="W31" s="56">
        <f t="shared" si="25"/>
        <v>93</v>
      </c>
      <c r="X31" s="36">
        <f t="shared" si="26"/>
        <v>83</v>
      </c>
      <c r="Y31" s="36" t="str">
        <f t="shared" si="27"/>
        <v>&gt;</v>
      </c>
      <c r="Z31" s="36">
        <f t="shared" si="28"/>
        <v>46.5</v>
      </c>
      <c r="AA31" s="42">
        <v>300.0</v>
      </c>
      <c r="AB31" s="39" t="str">
        <f t="shared" si="29"/>
        <v>SI</v>
      </c>
      <c r="AC31" s="39" t="str">
        <f t="shared" si="30"/>
        <v>NO</v>
      </c>
      <c r="AD31" s="40" t="str">
        <f t="shared" si="31"/>
        <v>0</v>
      </c>
      <c r="AE31" s="40" t="str">
        <f t="shared" si="32"/>
        <v>1</v>
      </c>
    </row>
    <row r="32" ht="24.0" customHeight="1">
      <c r="A32" s="1"/>
      <c r="B32" s="33">
        <v>24.0</v>
      </c>
      <c r="C32" s="41" t="s">
        <v>48</v>
      </c>
      <c r="D32" s="33" t="s">
        <v>28</v>
      </c>
      <c r="E32" s="33" t="s">
        <v>28</v>
      </c>
      <c r="F32" s="33" t="s">
        <v>28</v>
      </c>
      <c r="G32" s="33" t="s">
        <v>28</v>
      </c>
      <c r="H32" s="33" t="s">
        <v>28</v>
      </c>
      <c r="I32" s="33" t="s">
        <v>28</v>
      </c>
      <c r="J32" s="33" t="s">
        <v>28</v>
      </c>
      <c r="K32" s="33" t="s">
        <v>28</v>
      </c>
      <c r="L32" s="23">
        <v>109.0</v>
      </c>
      <c r="M32" s="23">
        <v>118.0</v>
      </c>
      <c r="N32" s="33" t="s">
        <v>28</v>
      </c>
      <c r="O32" s="33" t="s">
        <v>28</v>
      </c>
      <c r="P32" s="33" t="s">
        <v>28</v>
      </c>
      <c r="Q32" s="33" t="s">
        <v>28</v>
      </c>
      <c r="R32" s="33" t="s">
        <v>28</v>
      </c>
      <c r="S32" s="33" t="s">
        <v>28</v>
      </c>
      <c r="T32" s="33" t="s">
        <v>28</v>
      </c>
      <c r="U32" s="35">
        <f t="shared" si="23"/>
        <v>118</v>
      </c>
      <c r="V32" s="35">
        <f t="shared" si="24"/>
        <v>109</v>
      </c>
      <c r="W32" s="56">
        <f t="shared" si="25"/>
        <v>113.5</v>
      </c>
      <c r="X32" s="36">
        <f t="shared" si="26"/>
        <v>109</v>
      </c>
      <c r="Y32" s="36" t="str">
        <f t="shared" si="27"/>
        <v>&gt;</v>
      </c>
      <c r="Z32" s="36">
        <f t="shared" si="28"/>
        <v>56.75</v>
      </c>
      <c r="AA32" s="42">
        <v>100.0</v>
      </c>
      <c r="AB32" s="39" t="str">
        <f t="shared" si="29"/>
        <v>SI</v>
      </c>
      <c r="AC32" s="39" t="str">
        <f t="shared" si="30"/>
        <v>SI</v>
      </c>
      <c r="AD32" s="40" t="str">
        <f t="shared" si="31"/>
        <v>0</v>
      </c>
      <c r="AE32" s="40" t="str">
        <f t="shared" si="32"/>
        <v>0</v>
      </c>
    </row>
    <row r="33" ht="24.0" customHeight="1">
      <c r="A33" s="1"/>
      <c r="B33" s="33">
        <v>25.0</v>
      </c>
      <c r="C33" s="41" t="s">
        <v>49</v>
      </c>
      <c r="D33" s="33" t="s">
        <v>28</v>
      </c>
      <c r="E33" s="33" t="s">
        <v>28</v>
      </c>
      <c r="F33" s="33" t="s">
        <v>28</v>
      </c>
      <c r="G33" s="33" t="s">
        <v>28</v>
      </c>
      <c r="H33" s="33" t="s">
        <v>28</v>
      </c>
      <c r="I33" s="33" t="s">
        <v>28</v>
      </c>
      <c r="J33" s="33" t="s">
        <v>28</v>
      </c>
      <c r="K33" s="33" t="s">
        <v>28</v>
      </c>
      <c r="L33" s="23">
        <v>111.0</v>
      </c>
      <c r="M33" s="23">
        <v>114.0</v>
      </c>
      <c r="N33" s="33" t="s">
        <v>28</v>
      </c>
      <c r="O33" s="33" t="s">
        <v>28</v>
      </c>
      <c r="P33" s="33" t="s">
        <v>28</v>
      </c>
      <c r="Q33" s="33" t="s">
        <v>28</v>
      </c>
      <c r="R33" s="33" t="s">
        <v>28</v>
      </c>
      <c r="S33" s="33" t="s">
        <v>28</v>
      </c>
      <c r="T33" s="33" t="s">
        <v>28</v>
      </c>
      <c r="U33" s="35">
        <f t="shared" si="23"/>
        <v>114</v>
      </c>
      <c r="V33" s="35">
        <f t="shared" si="24"/>
        <v>111</v>
      </c>
      <c r="W33" s="56">
        <f t="shared" si="25"/>
        <v>112.5</v>
      </c>
      <c r="X33" s="36">
        <f t="shared" si="26"/>
        <v>111</v>
      </c>
      <c r="Y33" s="36" t="str">
        <f t="shared" si="27"/>
        <v>&gt;</v>
      </c>
      <c r="Z33" s="36">
        <f t="shared" si="28"/>
        <v>56.25</v>
      </c>
      <c r="AA33" s="42">
        <v>100.0</v>
      </c>
      <c r="AB33" s="39" t="str">
        <f t="shared" si="29"/>
        <v>SI</v>
      </c>
      <c r="AC33" s="39" t="str">
        <f t="shared" si="30"/>
        <v>SI</v>
      </c>
      <c r="AD33" s="40" t="str">
        <f t="shared" si="31"/>
        <v>0</v>
      </c>
      <c r="AE33" s="40" t="str">
        <f t="shared" si="32"/>
        <v>0</v>
      </c>
    </row>
    <row r="34" ht="24.0" customHeight="1">
      <c r="A34" s="1"/>
      <c r="B34" s="58" t="s">
        <v>87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0"/>
      <c r="AD34" s="40" t="str">
        <f t="shared" si="31"/>
        <v>0</v>
      </c>
      <c r="AE34" s="40" t="str">
        <f t="shared" si="32"/>
        <v>0</v>
      </c>
    </row>
    <row r="35" ht="37.5" customHeight="1">
      <c r="A35" s="1"/>
      <c r="B35" s="6" t="s">
        <v>3</v>
      </c>
      <c r="C35" s="6" t="s">
        <v>4</v>
      </c>
      <c r="D35" s="7" t="s">
        <v>5</v>
      </c>
      <c r="E35" s="8"/>
      <c r="F35" s="9"/>
      <c r="G35" s="6" t="s">
        <v>6</v>
      </c>
      <c r="H35" s="6" t="s">
        <v>7</v>
      </c>
      <c r="I35" s="6" t="s">
        <v>8</v>
      </c>
      <c r="J35" s="6" t="s">
        <v>9</v>
      </c>
      <c r="K35" s="6" t="s">
        <v>10</v>
      </c>
      <c r="L35" s="7" t="s">
        <v>11</v>
      </c>
      <c r="M35" s="8"/>
      <c r="N35" s="8"/>
      <c r="O35" s="8"/>
      <c r="P35" s="8"/>
      <c r="Q35" s="8"/>
      <c r="R35" s="8"/>
      <c r="S35" s="8"/>
      <c r="T35" s="10"/>
      <c r="U35" s="11" t="s">
        <v>12</v>
      </c>
      <c r="V35" s="11" t="s">
        <v>13</v>
      </c>
      <c r="W35" s="6" t="s">
        <v>15</v>
      </c>
      <c r="X35" s="12" t="s">
        <v>14</v>
      </c>
      <c r="Y35" s="13"/>
      <c r="Z35" s="14"/>
      <c r="AA35" s="6" t="s">
        <v>16</v>
      </c>
      <c r="AB35" s="6" t="s">
        <v>17</v>
      </c>
      <c r="AC35" s="6" t="s">
        <v>18</v>
      </c>
      <c r="AD35" s="40" t="str">
        <f t="shared" si="31"/>
        <v>0</v>
      </c>
      <c r="AE35" s="40" t="str">
        <f t="shared" si="32"/>
        <v>0</v>
      </c>
    </row>
    <row r="36" ht="24.0" customHeight="1">
      <c r="A36" s="1"/>
      <c r="B36" s="15"/>
      <c r="C36" s="15"/>
      <c r="D36" s="16" t="s">
        <v>21</v>
      </c>
      <c r="E36" s="16" t="s">
        <v>22</v>
      </c>
      <c r="F36" s="16" t="s">
        <v>23</v>
      </c>
      <c r="G36" s="15"/>
      <c r="H36" s="15"/>
      <c r="I36" s="15"/>
      <c r="J36" s="15"/>
      <c r="K36" s="15"/>
      <c r="L36" s="17">
        <v>1.0</v>
      </c>
      <c r="M36" s="17">
        <v>2.0</v>
      </c>
      <c r="N36" s="17">
        <v>3.0</v>
      </c>
      <c r="O36" s="17">
        <v>4.0</v>
      </c>
      <c r="P36" s="17">
        <v>5.0</v>
      </c>
      <c r="Q36" s="17">
        <v>6.0</v>
      </c>
      <c r="R36" s="17">
        <v>7.0</v>
      </c>
      <c r="S36" s="17">
        <v>8.0</v>
      </c>
      <c r="T36" s="17">
        <v>9.0</v>
      </c>
      <c r="U36" s="15"/>
      <c r="V36" s="15"/>
      <c r="W36" s="15"/>
      <c r="X36" s="18"/>
      <c r="Y36" s="19"/>
      <c r="Z36" s="20"/>
      <c r="AA36" s="15"/>
      <c r="AB36" s="15"/>
      <c r="AC36" s="15"/>
      <c r="AD36" s="40" t="str">
        <f t="shared" si="31"/>
        <v>0</v>
      </c>
      <c r="AE36" s="40" t="str">
        <f t="shared" si="32"/>
        <v>0</v>
      </c>
    </row>
    <row r="37" ht="24.0" customHeight="1">
      <c r="A37" s="1"/>
      <c r="B37" s="31">
        <v>26.0</v>
      </c>
      <c r="C37" s="44" t="s">
        <v>50</v>
      </c>
      <c r="D37" s="33" t="s">
        <v>28</v>
      </c>
      <c r="E37" s="33" t="s">
        <v>28</v>
      </c>
      <c r="F37" s="33" t="s">
        <v>28</v>
      </c>
      <c r="G37" s="33" t="s">
        <v>28</v>
      </c>
      <c r="H37" s="33" t="s">
        <v>28</v>
      </c>
      <c r="I37" s="33" t="s">
        <v>28</v>
      </c>
      <c r="J37" s="33" t="s">
        <v>28</v>
      </c>
      <c r="K37" s="33" t="s">
        <v>28</v>
      </c>
      <c r="L37" s="23">
        <v>80.0</v>
      </c>
      <c r="M37" s="23">
        <v>92.0</v>
      </c>
      <c r="N37" s="33" t="s">
        <v>28</v>
      </c>
      <c r="O37" s="33" t="s">
        <v>28</v>
      </c>
      <c r="P37" s="33" t="s">
        <v>28</v>
      </c>
      <c r="Q37" s="33" t="s">
        <v>28</v>
      </c>
      <c r="R37" s="33" t="s">
        <v>28</v>
      </c>
      <c r="S37" s="33" t="s">
        <v>28</v>
      </c>
      <c r="T37" s="33" t="s">
        <v>28</v>
      </c>
      <c r="U37" s="35">
        <f t="shared" ref="U37:U61" si="33">MAX(L37:T37)</f>
        <v>92</v>
      </c>
      <c r="V37" s="35">
        <f t="shared" ref="V37:V61" si="34">MIN(L37:T37)</f>
        <v>80</v>
      </c>
      <c r="W37" s="56">
        <f t="shared" ref="W37:W61" si="35">AVERAGE(L37:T37)</f>
        <v>86</v>
      </c>
      <c r="X37" s="36">
        <f t="shared" ref="X37:X61" si="36">MIN(L37:T37)</f>
        <v>80</v>
      </c>
      <c r="Y37" s="36" t="str">
        <f t="shared" ref="Y37:Y61" si="37">IF(X37&gt;Z37,"&gt;","&lt;")</f>
        <v>&gt;</v>
      </c>
      <c r="Z37" s="36">
        <f t="shared" ref="Z37:Z61" si="38">+W37/2</f>
        <v>43</v>
      </c>
      <c r="AA37" s="42">
        <v>100.0</v>
      </c>
      <c r="AB37" s="39" t="str">
        <f t="shared" ref="AB37:AB61" si="39">IF(X37&gt;Z37,"SI","NO")</f>
        <v>SI</v>
      </c>
      <c r="AC37" s="39" t="str">
        <f t="shared" ref="AC37:AC61" si="40">IF(W37&gt;AA37,"SI","NO")</f>
        <v>NO</v>
      </c>
      <c r="AD37" s="40" t="str">
        <f t="shared" si="31"/>
        <v>0</v>
      </c>
      <c r="AE37" s="40" t="str">
        <f t="shared" si="32"/>
        <v>1</v>
      </c>
    </row>
    <row r="38" ht="24.0" customHeight="1">
      <c r="A38" s="1"/>
      <c r="B38" s="33">
        <v>27.0</v>
      </c>
      <c r="C38" s="44" t="s">
        <v>51</v>
      </c>
      <c r="D38" s="33" t="s">
        <v>28</v>
      </c>
      <c r="E38" s="33" t="s">
        <v>28</v>
      </c>
      <c r="F38" s="33" t="s">
        <v>28</v>
      </c>
      <c r="G38" s="33" t="s">
        <v>28</v>
      </c>
      <c r="H38" s="33" t="s">
        <v>28</v>
      </c>
      <c r="I38" s="33" t="s">
        <v>28</v>
      </c>
      <c r="J38" s="33" t="s">
        <v>28</v>
      </c>
      <c r="K38" s="33" t="s">
        <v>28</v>
      </c>
      <c r="L38" s="23">
        <v>400.0</v>
      </c>
      <c r="M38" s="23">
        <v>360.0</v>
      </c>
      <c r="N38" s="33" t="s">
        <v>28</v>
      </c>
      <c r="O38" s="33" t="s">
        <v>28</v>
      </c>
      <c r="P38" s="33" t="s">
        <v>28</v>
      </c>
      <c r="Q38" s="33" t="s">
        <v>28</v>
      </c>
      <c r="R38" s="33" t="s">
        <v>28</v>
      </c>
      <c r="S38" s="33" t="s">
        <v>28</v>
      </c>
      <c r="T38" s="33" t="s">
        <v>28</v>
      </c>
      <c r="U38" s="35">
        <f t="shared" si="33"/>
        <v>400</v>
      </c>
      <c r="V38" s="35">
        <f t="shared" si="34"/>
        <v>360</v>
      </c>
      <c r="W38" s="56">
        <f t="shared" si="35"/>
        <v>380</v>
      </c>
      <c r="X38" s="36">
        <f t="shared" si="36"/>
        <v>360</v>
      </c>
      <c r="Y38" s="36" t="str">
        <f t="shared" si="37"/>
        <v>&gt;</v>
      </c>
      <c r="Z38" s="36">
        <f t="shared" si="38"/>
        <v>190</v>
      </c>
      <c r="AA38" s="42">
        <v>100.0</v>
      </c>
      <c r="AB38" s="39" t="str">
        <f t="shared" si="39"/>
        <v>SI</v>
      </c>
      <c r="AC38" s="39" t="str">
        <f t="shared" si="40"/>
        <v>SI</v>
      </c>
      <c r="AD38" s="40" t="str">
        <f t="shared" si="31"/>
        <v>0</v>
      </c>
      <c r="AE38" s="40" t="str">
        <f t="shared" si="32"/>
        <v>0</v>
      </c>
    </row>
    <row r="39" ht="24.0" customHeight="1">
      <c r="A39" s="1"/>
      <c r="B39" s="33">
        <v>28.0</v>
      </c>
      <c r="C39" s="41" t="s">
        <v>52</v>
      </c>
      <c r="D39" s="33" t="s">
        <v>28</v>
      </c>
      <c r="E39" s="33" t="s">
        <v>28</v>
      </c>
      <c r="F39" s="33" t="s">
        <v>28</v>
      </c>
      <c r="G39" s="33" t="s">
        <v>28</v>
      </c>
      <c r="H39" s="33" t="s">
        <v>28</v>
      </c>
      <c r="I39" s="33" t="s">
        <v>28</v>
      </c>
      <c r="J39" s="33" t="s">
        <v>28</v>
      </c>
      <c r="K39" s="33" t="s">
        <v>28</v>
      </c>
      <c r="L39" s="23">
        <v>480.0</v>
      </c>
      <c r="M39" s="23">
        <v>454.0</v>
      </c>
      <c r="N39" s="33" t="s">
        <v>28</v>
      </c>
      <c r="O39" s="33" t="s">
        <v>28</v>
      </c>
      <c r="P39" s="33" t="s">
        <v>28</v>
      </c>
      <c r="Q39" s="33" t="s">
        <v>28</v>
      </c>
      <c r="R39" s="33" t="s">
        <v>28</v>
      </c>
      <c r="S39" s="33" t="s">
        <v>28</v>
      </c>
      <c r="T39" s="33" t="s">
        <v>28</v>
      </c>
      <c r="U39" s="35">
        <f t="shared" si="33"/>
        <v>480</v>
      </c>
      <c r="V39" s="35">
        <f t="shared" si="34"/>
        <v>454</v>
      </c>
      <c r="W39" s="56">
        <f t="shared" si="35"/>
        <v>467</v>
      </c>
      <c r="X39" s="36">
        <f t="shared" si="36"/>
        <v>454</v>
      </c>
      <c r="Y39" s="36" t="str">
        <f t="shared" si="37"/>
        <v>&gt;</v>
      </c>
      <c r="Z39" s="36">
        <f t="shared" si="38"/>
        <v>233.5</v>
      </c>
      <c r="AA39" s="42">
        <v>100.0</v>
      </c>
      <c r="AB39" s="39" t="str">
        <f t="shared" si="39"/>
        <v>SI</v>
      </c>
      <c r="AC39" s="39" t="str">
        <f t="shared" si="40"/>
        <v>SI</v>
      </c>
      <c r="AD39" s="40" t="str">
        <f t="shared" si="31"/>
        <v>0</v>
      </c>
      <c r="AE39" s="40" t="str">
        <f t="shared" si="32"/>
        <v>0</v>
      </c>
    </row>
    <row r="40" ht="24.0" customHeight="1">
      <c r="A40" s="1"/>
      <c r="B40" s="31">
        <v>29.0</v>
      </c>
      <c r="C40" s="41" t="s">
        <v>53</v>
      </c>
      <c r="D40" s="33">
        <v>2.6</v>
      </c>
      <c r="E40" s="33">
        <v>2.33</v>
      </c>
      <c r="F40" s="33">
        <v>2.7</v>
      </c>
      <c r="G40" s="34">
        <f t="shared" ref="G40:G46" si="41">+(D40*E40)/(F40*(D40+E40))</f>
        <v>0.4551123131</v>
      </c>
      <c r="H40" s="33">
        <v>1.0</v>
      </c>
      <c r="I40" s="33">
        <v>2.0</v>
      </c>
      <c r="J40" s="33">
        <f t="shared" ref="J40:J46" si="42">+H40+I40</f>
        <v>3</v>
      </c>
      <c r="K40" s="33">
        <f t="shared" ref="K40:K46" si="43">POWER(J40,2)</f>
        <v>9</v>
      </c>
      <c r="L40" s="23">
        <v>103.0</v>
      </c>
      <c r="M40" s="23">
        <v>125.0</v>
      </c>
      <c r="N40" s="23">
        <v>110.0</v>
      </c>
      <c r="O40" s="23">
        <v>98.0</v>
      </c>
      <c r="P40" s="23">
        <v>131.0</v>
      </c>
      <c r="Q40" s="23">
        <v>95.0</v>
      </c>
      <c r="R40" s="23">
        <v>125.0</v>
      </c>
      <c r="S40" s="23">
        <v>136.0</v>
      </c>
      <c r="T40" s="23">
        <v>101.0</v>
      </c>
      <c r="U40" s="35">
        <f t="shared" si="33"/>
        <v>136</v>
      </c>
      <c r="V40" s="35">
        <f t="shared" si="34"/>
        <v>95</v>
      </c>
      <c r="W40" s="56">
        <f t="shared" si="35"/>
        <v>113.7777778</v>
      </c>
      <c r="X40" s="36">
        <f t="shared" si="36"/>
        <v>95</v>
      </c>
      <c r="Y40" s="36" t="str">
        <f t="shared" si="37"/>
        <v>&gt;</v>
      </c>
      <c r="Z40" s="36">
        <f t="shared" si="38"/>
        <v>56.88888889</v>
      </c>
      <c r="AA40" s="42">
        <v>300.0</v>
      </c>
      <c r="AB40" s="39" t="str">
        <f t="shared" si="39"/>
        <v>SI</v>
      </c>
      <c r="AC40" s="39" t="str">
        <f t="shared" si="40"/>
        <v>NO</v>
      </c>
      <c r="AD40" s="40" t="str">
        <f t="shared" si="31"/>
        <v>0</v>
      </c>
      <c r="AE40" s="40" t="str">
        <f t="shared" si="32"/>
        <v>1</v>
      </c>
    </row>
    <row r="41" ht="24.0" customHeight="1">
      <c r="A41" s="1"/>
      <c r="B41" s="33">
        <v>30.0</v>
      </c>
      <c r="C41" s="41" t="s">
        <v>54</v>
      </c>
      <c r="D41" s="33">
        <v>2.61</v>
      </c>
      <c r="E41" s="33">
        <v>4.71</v>
      </c>
      <c r="F41" s="33">
        <v>2.7</v>
      </c>
      <c r="G41" s="34">
        <f t="shared" si="41"/>
        <v>0.6219945355</v>
      </c>
      <c r="H41" s="33">
        <v>1.0</v>
      </c>
      <c r="I41" s="33">
        <v>2.0</v>
      </c>
      <c r="J41" s="33">
        <f t="shared" si="42"/>
        <v>3</v>
      </c>
      <c r="K41" s="33">
        <f t="shared" si="43"/>
        <v>9</v>
      </c>
      <c r="L41" s="23">
        <v>118.0</v>
      </c>
      <c r="M41" s="23">
        <v>123.0</v>
      </c>
      <c r="N41" s="23">
        <v>73.0</v>
      </c>
      <c r="O41" s="23">
        <v>152.0</v>
      </c>
      <c r="P41" s="23">
        <v>148.0</v>
      </c>
      <c r="Q41" s="23">
        <v>102.0</v>
      </c>
      <c r="R41" s="23">
        <v>113.0</v>
      </c>
      <c r="S41" s="23">
        <v>100.0</v>
      </c>
      <c r="T41" s="23">
        <v>161.0</v>
      </c>
      <c r="U41" s="35">
        <f t="shared" si="33"/>
        <v>161</v>
      </c>
      <c r="V41" s="35">
        <f t="shared" si="34"/>
        <v>73</v>
      </c>
      <c r="W41" s="56">
        <f t="shared" si="35"/>
        <v>121.1111111</v>
      </c>
      <c r="X41" s="36">
        <f t="shared" si="36"/>
        <v>73</v>
      </c>
      <c r="Y41" s="36" t="str">
        <f t="shared" si="37"/>
        <v>&gt;</v>
      </c>
      <c r="Z41" s="36">
        <f t="shared" si="38"/>
        <v>60.55555556</v>
      </c>
      <c r="AA41" s="42">
        <v>300.0</v>
      </c>
      <c r="AB41" s="39" t="str">
        <f t="shared" si="39"/>
        <v>SI</v>
      </c>
      <c r="AC41" s="39" t="str">
        <f t="shared" si="40"/>
        <v>NO</v>
      </c>
      <c r="AD41" s="40" t="str">
        <f t="shared" si="31"/>
        <v>0</v>
      </c>
      <c r="AE41" s="40" t="str">
        <f t="shared" si="32"/>
        <v>1</v>
      </c>
    </row>
    <row r="42" ht="24.0" customHeight="1">
      <c r="A42" s="1"/>
      <c r="B42" s="33">
        <v>31.0</v>
      </c>
      <c r="C42" s="41" t="s">
        <v>55</v>
      </c>
      <c r="D42" s="33">
        <v>2.35</v>
      </c>
      <c r="E42" s="33">
        <v>2.8</v>
      </c>
      <c r="F42" s="33">
        <v>2.7</v>
      </c>
      <c r="G42" s="34">
        <f t="shared" si="41"/>
        <v>0.4732110752</v>
      </c>
      <c r="H42" s="33">
        <v>1.0</v>
      </c>
      <c r="I42" s="33">
        <v>2.0</v>
      </c>
      <c r="J42" s="33">
        <f t="shared" si="42"/>
        <v>3</v>
      </c>
      <c r="K42" s="33">
        <f t="shared" si="43"/>
        <v>9</v>
      </c>
      <c r="L42" s="23">
        <v>149.0</v>
      </c>
      <c r="M42" s="23">
        <v>180.0</v>
      </c>
      <c r="N42" s="23">
        <v>188.0</v>
      </c>
      <c r="O42" s="23">
        <v>175.0</v>
      </c>
      <c r="P42" s="23">
        <v>158.0</v>
      </c>
      <c r="Q42" s="23">
        <v>171.0</v>
      </c>
      <c r="R42" s="23">
        <v>169.0</v>
      </c>
      <c r="S42" s="23">
        <v>170.0</v>
      </c>
      <c r="T42" s="23">
        <v>181.0</v>
      </c>
      <c r="U42" s="35">
        <f t="shared" si="33"/>
        <v>188</v>
      </c>
      <c r="V42" s="35">
        <f t="shared" si="34"/>
        <v>149</v>
      </c>
      <c r="W42" s="56">
        <f t="shared" si="35"/>
        <v>171.2222222</v>
      </c>
      <c r="X42" s="36">
        <f t="shared" si="36"/>
        <v>149</v>
      </c>
      <c r="Y42" s="36" t="str">
        <f t="shared" si="37"/>
        <v>&gt;</v>
      </c>
      <c r="Z42" s="36">
        <f t="shared" si="38"/>
        <v>85.61111111</v>
      </c>
      <c r="AA42" s="42">
        <v>300.0</v>
      </c>
      <c r="AB42" s="39" t="str">
        <f t="shared" si="39"/>
        <v>SI</v>
      </c>
      <c r="AC42" s="39" t="str">
        <f t="shared" si="40"/>
        <v>NO</v>
      </c>
      <c r="AD42" s="40" t="str">
        <f t="shared" si="31"/>
        <v>0</v>
      </c>
      <c r="AE42" s="40" t="str">
        <f t="shared" si="32"/>
        <v>1</v>
      </c>
    </row>
    <row r="43" ht="24.0" customHeight="1">
      <c r="A43" s="1"/>
      <c r="B43" s="31">
        <v>32.0</v>
      </c>
      <c r="C43" s="41" t="s">
        <v>56</v>
      </c>
      <c r="D43" s="33">
        <v>4.1</v>
      </c>
      <c r="E43" s="33">
        <v>7.16</v>
      </c>
      <c r="F43" s="33">
        <v>2.7</v>
      </c>
      <c r="G43" s="34">
        <f t="shared" si="41"/>
        <v>0.9655943688</v>
      </c>
      <c r="H43" s="33">
        <v>1.0</v>
      </c>
      <c r="I43" s="33">
        <v>2.0</v>
      </c>
      <c r="J43" s="33">
        <f t="shared" si="42"/>
        <v>3</v>
      </c>
      <c r="K43" s="33">
        <f t="shared" si="43"/>
        <v>9</v>
      </c>
      <c r="L43" s="23">
        <v>42.0</v>
      </c>
      <c r="M43" s="23">
        <v>151.0</v>
      </c>
      <c r="N43" s="23">
        <v>75.0</v>
      </c>
      <c r="O43" s="23">
        <v>57.0</v>
      </c>
      <c r="P43" s="23">
        <v>106.0</v>
      </c>
      <c r="Q43" s="23">
        <v>76.0</v>
      </c>
      <c r="R43" s="23">
        <v>37.0</v>
      </c>
      <c r="S43" s="23">
        <v>108.0</v>
      </c>
      <c r="T43" s="23">
        <v>169.0</v>
      </c>
      <c r="U43" s="35">
        <f t="shared" si="33"/>
        <v>169</v>
      </c>
      <c r="V43" s="35">
        <f t="shared" si="34"/>
        <v>37</v>
      </c>
      <c r="W43" s="56">
        <f t="shared" si="35"/>
        <v>91.22222222</v>
      </c>
      <c r="X43" s="36">
        <f t="shared" si="36"/>
        <v>37</v>
      </c>
      <c r="Y43" s="36" t="str">
        <f t="shared" si="37"/>
        <v>&lt;</v>
      </c>
      <c r="Z43" s="36">
        <f t="shared" si="38"/>
        <v>45.61111111</v>
      </c>
      <c r="AA43" s="42">
        <v>300.0</v>
      </c>
      <c r="AB43" s="39" t="str">
        <f t="shared" si="39"/>
        <v>NO</v>
      </c>
      <c r="AC43" s="39" t="str">
        <f t="shared" si="40"/>
        <v>NO</v>
      </c>
      <c r="AD43" s="40" t="str">
        <f t="shared" si="31"/>
        <v>1</v>
      </c>
      <c r="AE43" s="40" t="str">
        <f t="shared" si="32"/>
        <v>1</v>
      </c>
    </row>
    <row r="44" ht="24.0" customHeight="1">
      <c r="A44" s="1"/>
      <c r="B44" s="33">
        <v>33.0</v>
      </c>
      <c r="C44" s="41" t="s">
        <v>57</v>
      </c>
      <c r="D44" s="42">
        <v>4.04</v>
      </c>
      <c r="E44" s="42">
        <v>3.05</v>
      </c>
      <c r="F44" s="42">
        <v>2.7</v>
      </c>
      <c r="G44" s="34">
        <f t="shared" si="41"/>
        <v>0.6436817636</v>
      </c>
      <c r="H44" s="33">
        <v>1.0</v>
      </c>
      <c r="I44" s="33">
        <v>2.0</v>
      </c>
      <c r="J44" s="33">
        <f t="shared" si="42"/>
        <v>3</v>
      </c>
      <c r="K44" s="33">
        <f t="shared" si="43"/>
        <v>9</v>
      </c>
      <c r="L44" s="23">
        <v>181.0</v>
      </c>
      <c r="M44" s="23">
        <v>192.0</v>
      </c>
      <c r="N44" s="23">
        <v>190.0</v>
      </c>
      <c r="O44" s="23">
        <v>182.0</v>
      </c>
      <c r="P44" s="23">
        <v>169.0</v>
      </c>
      <c r="Q44" s="23">
        <v>150.0</v>
      </c>
      <c r="R44" s="23">
        <v>91.0</v>
      </c>
      <c r="S44" s="23">
        <v>169.0</v>
      </c>
      <c r="T44" s="23">
        <v>120.0</v>
      </c>
      <c r="U44" s="35">
        <f t="shared" si="33"/>
        <v>192</v>
      </c>
      <c r="V44" s="35">
        <f t="shared" si="34"/>
        <v>91</v>
      </c>
      <c r="W44" s="56">
        <f t="shared" si="35"/>
        <v>160.4444444</v>
      </c>
      <c r="X44" s="36">
        <f t="shared" si="36"/>
        <v>91</v>
      </c>
      <c r="Y44" s="36" t="str">
        <f t="shared" si="37"/>
        <v>&gt;</v>
      </c>
      <c r="Z44" s="36">
        <f t="shared" si="38"/>
        <v>80.22222222</v>
      </c>
      <c r="AA44" s="42">
        <v>300.0</v>
      </c>
      <c r="AB44" s="39" t="str">
        <f t="shared" si="39"/>
        <v>SI</v>
      </c>
      <c r="AC44" s="39" t="str">
        <f t="shared" si="40"/>
        <v>NO</v>
      </c>
      <c r="AD44" s="40" t="str">
        <f t="shared" si="31"/>
        <v>0</v>
      </c>
      <c r="AE44" s="40" t="str">
        <f t="shared" si="32"/>
        <v>1</v>
      </c>
    </row>
    <row r="45" ht="24.0" customHeight="1">
      <c r="A45" s="1"/>
      <c r="B45" s="33">
        <v>34.0</v>
      </c>
      <c r="C45" s="41" t="s">
        <v>58</v>
      </c>
      <c r="D45" s="33">
        <v>4.67</v>
      </c>
      <c r="E45" s="33">
        <v>4.53</v>
      </c>
      <c r="F45" s="33">
        <v>2.67</v>
      </c>
      <c r="G45" s="34">
        <f t="shared" si="41"/>
        <v>0.8612237421</v>
      </c>
      <c r="H45" s="33">
        <v>1.0</v>
      </c>
      <c r="I45" s="33">
        <v>2.0</v>
      </c>
      <c r="J45" s="33">
        <f t="shared" si="42"/>
        <v>3</v>
      </c>
      <c r="K45" s="33">
        <f t="shared" si="43"/>
        <v>9</v>
      </c>
      <c r="L45" s="23">
        <v>121.0</v>
      </c>
      <c r="M45" s="23">
        <v>216.0</v>
      </c>
      <c r="N45" s="23">
        <v>120.0</v>
      </c>
      <c r="O45" s="23">
        <v>100.0</v>
      </c>
      <c r="P45" s="23">
        <v>94.0</v>
      </c>
      <c r="Q45" s="23">
        <v>118.0</v>
      </c>
      <c r="R45" s="23">
        <v>230.0</v>
      </c>
      <c r="S45" s="23">
        <v>83.0</v>
      </c>
      <c r="T45" s="23">
        <v>124.0</v>
      </c>
      <c r="U45" s="35">
        <f t="shared" si="33"/>
        <v>230</v>
      </c>
      <c r="V45" s="35">
        <f t="shared" si="34"/>
        <v>83</v>
      </c>
      <c r="W45" s="56">
        <f t="shared" si="35"/>
        <v>134</v>
      </c>
      <c r="X45" s="36">
        <f t="shared" si="36"/>
        <v>83</v>
      </c>
      <c r="Y45" s="36" t="str">
        <f t="shared" si="37"/>
        <v>&gt;</v>
      </c>
      <c r="Z45" s="36">
        <f t="shared" si="38"/>
        <v>67</v>
      </c>
      <c r="AA45" s="42">
        <v>300.0</v>
      </c>
      <c r="AB45" s="39" t="str">
        <f t="shared" si="39"/>
        <v>SI</v>
      </c>
      <c r="AC45" s="39" t="str">
        <f t="shared" si="40"/>
        <v>NO</v>
      </c>
      <c r="AD45" s="40" t="str">
        <f t="shared" si="31"/>
        <v>0</v>
      </c>
      <c r="AE45" s="40" t="str">
        <f t="shared" si="32"/>
        <v>1</v>
      </c>
    </row>
    <row r="46" ht="24.0" customHeight="1">
      <c r="A46" s="1"/>
      <c r="B46" s="31">
        <v>35.0</v>
      </c>
      <c r="C46" s="41" t="s">
        <v>59</v>
      </c>
      <c r="D46" s="33">
        <v>5.6</v>
      </c>
      <c r="E46" s="33">
        <v>4.18</v>
      </c>
      <c r="F46" s="33">
        <v>3.83</v>
      </c>
      <c r="G46" s="34">
        <f t="shared" si="41"/>
        <v>0.6249232461</v>
      </c>
      <c r="H46" s="33">
        <v>1.0</v>
      </c>
      <c r="I46" s="33">
        <v>2.0</v>
      </c>
      <c r="J46" s="33">
        <f t="shared" si="42"/>
        <v>3</v>
      </c>
      <c r="K46" s="33">
        <f t="shared" si="43"/>
        <v>9</v>
      </c>
      <c r="L46" s="23">
        <v>250.0</v>
      </c>
      <c r="M46" s="23">
        <v>234.0</v>
      </c>
      <c r="N46" s="23">
        <v>253.0</v>
      </c>
      <c r="O46" s="23">
        <v>213.0</v>
      </c>
      <c r="P46" s="23">
        <v>256.0</v>
      </c>
      <c r="Q46" s="23">
        <v>313.0</v>
      </c>
      <c r="R46" s="23">
        <v>218.0</v>
      </c>
      <c r="S46" s="23">
        <v>200.0</v>
      </c>
      <c r="T46" s="23">
        <v>188.0</v>
      </c>
      <c r="U46" s="35">
        <f t="shared" si="33"/>
        <v>313</v>
      </c>
      <c r="V46" s="35">
        <f t="shared" si="34"/>
        <v>188</v>
      </c>
      <c r="W46" s="56">
        <f t="shared" si="35"/>
        <v>236.1111111</v>
      </c>
      <c r="X46" s="36">
        <f t="shared" si="36"/>
        <v>188</v>
      </c>
      <c r="Y46" s="36" t="str">
        <f t="shared" si="37"/>
        <v>&gt;</v>
      </c>
      <c r="Z46" s="36">
        <f t="shared" si="38"/>
        <v>118.0555556</v>
      </c>
      <c r="AA46" s="42">
        <v>300.0</v>
      </c>
      <c r="AB46" s="39" t="str">
        <f t="shared" si="39"/>
        <v>SI</v>
      </c>
      <c r="AC46" s="39" t="str">
        <f t="shared" si="40"/>
        <v>NO</v>
      </c>
      <c r="AD46" s="40" t="str">
        <f t="shared" si="31"/>
        <v>0</v>
      </c>
      <c r="AE46" s="40" t="str">
        <f t="shared" si="32"/>
        <v>1</v>
      </c>
    </row>
    <row r="47" ht="24.0" customHeight="1">
      <c r="A47" s="1"/>
      <c r="B47" s="33">
        <v>36.0</v>
      </c>
      <c r="C47" s="41" t="s">
        <v>60</v>
      </c>
      <c r="D47" s="33" t="s">
        <v>28</v>
      </c>
      <c r="E47" s="33" t="s">
        <v>28</v>
      </c>
      <c r="F47" s="33" t="s">
        <v>28</v>
      </c>
      <c r="G47" s="33" t="s">
        <v>28</v>
      </c>
      <c r="H47" s="33" t="s">
        <v>28</v>
      </c>
      <c r="I47" s="33" t="s">
        <v>28</v>
      </c>
      <c r="J47" s="33" t="s">
        <v>28</v>
      </c>
      <c r="K47" s="33" t="s">
        <v>28</v>
      </c>
      <c r="L47" s="23">
        <v>74.0</v>
      </c>
      <c r="M47" s="23">
        <v>80.0</v>
      </c>
      <c r="N47" s="23">
        <v>78.0</v>
      </c>
      <c r="O47" s="33" t="s">
        <v>28</v>
      </c>
      <c r="P47" s="33" t="s">
        <v>28</v>
      </c>
      <c r="Q47" s="33" t="s">
        <v>28</v>
      </c>
      <c r="R47" s="33" t="s">
        <v>28</v>
      </c>
      <c r="S47" s="33" t="s">
        <v>28</v>
      </c>
      <c r="T47" s="33" t="s">
        <v>28</v>
      </c>
      <c r="U47" s="35">
        <f t="shared" si="33"/>
        <v>80</v>
      </c>
      <c r="V47" s="35">
        <f t="shared" si="34"/>
        <v>74</v>
      </c>
      <c r="W47" s="56">
        <f t="shared" si="35"/>
        <v>77.33333333</v>
      </c>
      <c r="X47" s="36">
        <f t="shared" si="36"/>
        <v>74</v>
      </c>
      <c r="Y47" s="36" t="str">
        <f t="shared" si="37"/>
        <v>&gt;</v>
      </c>
      <c r="Z47" s="36">
        <f t="shared" si="38"/>
        <v>38.66666667</v>
      </c>
      <c r="AA47" s="42">
        <v>200.0</v>
      </c>
      <c r="AB47" s="39" t="str">
        <f t="shared" si="39"/>
        <v>SI</v>
      </c>
      <c r="AC47" s="39" t="str">
        <f t="shared" si="40"/>
        <v>NO</v>
      </c>
      <c r="AD47" s="40" t="str">
        <f t="shared" si="31"/>
        <v>0</v>
      </c>
      <c r="AE47" s="40" t="str">
        <f t="shared" si="32"/>
        <v>1</v>
      </c>
    </row>
    <row r="48" ht="24.0" customHeight="1">
      <c r="A48" s="1"/>
      <c r="B48" s="33">
        <v>37.0</v>
      </c>
      <c r="C48" s="41" t="s">
        <v>61</v>
      </c>
      <c r="D48" s="33" t="s">
        <v>28</v>
      </c>
      <c r="E48" s="33" t="s">
        <v>28</v>
      </c>
      <c r="F48" s="33" t="s">
        <v>28</v>
      </c>
      <c r="G48" s="33" t="s">
        <v>28</v>
      </c>
      <c r="H48" s="33" t="s">
        <v>28</v>
      </c>
      <c r="I48" s="33" t="s">
        <v>28</v>
      </c>
      <c r="J48" s="33" t="s">
        <v>28</v>
      </c>
      <c r="K48" s="33" t="s">
        <v>28</v>
      </c>
      <c r="L48" s="23">
        <v>102.0</v>
      </c>
      <c r="M48" s="23">
        <v>70.0</v>
      </c>
      <c r="N48" s="33" t="s">
        <v>28</v>
      </c>
      <c r="O48" s="33" t="s">
        <v>28</v>
      </c>
      <c r="P48" s="33" t="s">
        <v>28</v>
      </c>
      <c r="Q48" s="33" t="s">
        <v>28</v>
      </c>
      <c r="R48" s="33" t="s">
        <v>28</v>
      </c>
      <c r="S48" s="33" t="s">
        <v>28</v>
      </c>
      <c r="T48" s="33" t="s">
        <v>28</v>
      </c>
      <c r="U48" s="35">
        <f t="shared" si="33"/>
        <v>102</v>
      </c>
      <c r="V48" s="35">
        <f t="shared" si="34"/>
        <v>70</v>
      </c>
      <c r="W48" s="56">
        <f t="shared" si="35"/>
        <v>86</v>
      </c>
      <c r="X48" s="36">
        <f t="shared" si="36"/>
        <v>70</v>
      </c>
      <c r="Y48" s="36" t="str">
        <f t="shared" si="37"/>
        <v>&gt;</v>
      </c>
      <c r="Z48" s="36">
        <f t="shared" si="38"/>
        <v>43</v>
      </c>
      <c r="AA48" s="42">
        <v>200.0</v>
      </c>
      <c r="AB48" s="39" t="str">
        <f t="shared" si="39"/>
        <v>SI</v>
      </c>
      <c r="AC48" s="39" t="str">
        <f t="shared" si="40"/>
        <v>NO</v>
      </c>
      <c r="AD48" s="40" t="str">
        <f t="shared" si="31"/>
        <v>0</v>
      </c>
      <c r="AE48" s="40" t="str">
        <f t="shared" si="32"/>
        <v>1</v>
      </c>
    </row>
    <row r="49" ht="24.0" customHeight="1">
      <c r="A49" s="1"/>
      <c r="B49" s="31">
        <v>38.0</v>
      </c>
      <c r="C49" s="41" t="s">
        <v>62</v>
      </c>
      <c r="D49" s="33">
        <v>2.97</v>
      </c>
      <c r="E49" s="33">
        <v>3.0</v>
      </c>
      <c r="F49" s="33">
        <v>2.7</v>
      </c>
      <c r="G49" s="21">
        <f>+(D49*E49)/(F49*(D49+E49))</f>
        <v>0.5527638191</v>
      </c>
      <c r="H49" s="33">
        <v>1.0</v>
      </c>
      <c r="I49" s="33">
        <v>2.0</v>
      </c>
      <c r="J49" s="33">
        <f>+H49+I49</f>
        <v>3</v>
      </c>
      <c r="K49" s="33">
        <f>POWER(J49,2)</f>
        <v>9</v>
      </c>
      <c r="L49" s="23">
        <v>138.0</v>
      </c>
      <c r="M49" s="23">
        <v>147.0</v>
      </c>
      <c r="N49" s="23">
        <v>183.0</v>
      </c>
      <c r="O49" s="23">
        <v>146.0</v>
      </c>
      <c r="P49" s="23">
        <v>138.0</v>
      </c>
      <c r="Q49" s="23">
        <v>202.0</v>
      </c>
      <c r="R49" s="23">
        <v>180.0</v>
      </c>
      <c r="S49" s="23">
        <v>150.0</v>
      </c>
      <c r="T49" s="23">
        <v>202.0</v>
      </c>
      <c r="U49" s="35">
        <f t="shared" si="33"/>
        <v>202</v>
      </c>
      <c r="V49" s="35">
        <f t="shared" si="34"/>
        <v>138</v>
      </c>
      <c r="W49" s="56">
        <f t="shared" si="35"/>
        <v>165.1111111</v>
      </c>
      <c r="X49" s="36">
        <f t="shared" si="36"/>
        <v>138</v>
      </c>
      <c r="Y49" s="36" t="str">
        <f t="shared" si="37"/>
        <v>&gt;</v>
      </c>
      <c r="Z49" s="36">
        <f t="shared" si="38"/>
        <v>82.55555556</v>
      </c>
      <c r="AA49" s="42">
        <v>300.0</v>
      </c>
      <c r="AB49" s="39" t="str">
        <f t="shared" si="39"/>
        <v>SI</v>
      </c>
      <c r="AC49" s="39" t="str">
        <f t="shared" si="40"/>
        <v>NO</v>
      </c>
      <c r="AD49" s="40" t="str">
        <f t="shared" si="31"/>
        <v>0</v>
      </c>
      <c r="AE49" s="40" t="str">
        <f t="shared" si="32"/>
        <v>1</v>
      </c>
    </row>
    <row r="50" ht="24.0" customHeight="1">
      <c r="A50" s="1"/>
      <c r="B50" s="33">
        <v>39.0</v>
      </c>
      <c r="C50" s="41" t="s">
        <v>63</v>
      </c>
      <c r="D50" s="33" t="s">
        <v>28</v>
      </c>
      <c r="E50" s="33" t="s">
        <v>28</v>
      </c>
      <c r="F50" s="33" t="s">
        <v>28</v>
      </c>
      <c r="G50" s="33" t="s">
        <v>28</v>
      </c>
      <c r="H50" s="33" t="s">
        <v>28</v>
      </c>
      <c r="I50" s="33" t="s">
        <v>28</v>
      </c>
      <c r="J50" s="33" t="s">
        <v>28</v>
      </c>
      <c r="K50" s="33" t="s">
        <v>28</v>
      </c>
      <c r="L50" s="23">
        <v>150.0</v>
      </c>
      <c r="M50" s="23">
        <v>280.0</v>
      </c>
      <c r="N50" s="23">
        <v>201.0</v>
      </c>
      <c r="O50" s="33" t="s">
        <v>28</v>
      </c>
      <c r="P50" s="33" t="s">
        <v>28</v>
      </c>
      <c r="Q50" s="33" t="s">
        <v>28</v>
      </c>
      <c r="R50" s="33" t="s">
        <v>28</v>
      </c>
      <c r="S50" s="33" t="s">
        <v>28</v>
      </c>
      <c r="T50" s="33" t="s">
        <v>28</v>
      </c>
      <c r="U50" s="35">
        <f t="shared" si="33"/>
        <v>280</v>
      </c>
      <c r="V50" s="35">
        <f t="shared" si="34"/>
        <v>150</v>
      </c>
      <c r="W50" s="56">
        <f t="shared" si="35"/>
        <v>210.3333333</v>
      </c>
      <c r="X50" s="36">
        <f t="shared" si="36"/>
        <v>150</v>
      </c>
      <c r="Y50" s="36" t="str">
        <f t="shared" si="37"/>
        <v>&gt;</v>
      </c>
      <c r="Z50" s="36">
        <f t="shared" si="38"/>
        <v>105.1666667</v>
      </c>
      <c r="AA50" s="42">
        <v>100.0</v>
      </c>
      <c r="AB50" s="39" t="str">
        <f t="shared" si="39"/>
        <v>SI</v>
      </c>
      <c r="AC50" s="39" t="str">
        <f t="shared" si="40"/>
        <v>SI</v>
      </c>
      <c r="AD50" s="40" t="str">
        <f t="shared" si="31"/>
        <v>0</v>
      </c>
      <c r="AE50" s="40" t="str">
        <f t="shared" si="32"/>
        <v>0</v>
      </c>
    </row>
    <row r="51" ht="24.0" customHeight="1">
      <c r="A51" s="1"/>
      <c r="B51" s="33">
        <v>40.0</v>
      </c>
      <c r="C51" s="41" t="s">
        <v>64</v>
      </c>
      <c r="D51" s="33">
        <v>3.94</v>
      </c>
      <c r="E51" s="33">
        <v>3.35</v>
      </c>
      <c r="F51" s="33">
        <v>3.32</v>
      </c>
      <c r="G51" s="34">
        <f>+(D51*E51)/(F51*(D51+E51))</f>
        <v>0.5453501248</v>
      </c>
      <c r="H51" s="33">
        <v>1.0</v>
      </c>
      <c r="I51" s="33">
        <v>2.0</v>
      </c>
      <c r="J51" s="33">
        <f>+H51+I51</f>
        <v>3</v>
      </c>
      <c r="K51" s="33">
        <f>POWER(J51,2)</f>
        <v>9</v>
      </c>
      <c r="L51" s="23">
        <v>146.0</v>
      </c>
      <c r="M51" s="23">
        <v>280.0</v>
      </c>
      <c r="N51" s="23">
        <v>160.0</v>
      </c>
      <c r="O51" s="23">
        <v>159.0</v>
      </c>
      <c r="P51" s="23">
        <v>160.0</v>
      </c>
      <c r="Q51" s="23">
        <v>144.0</v>
      </c>
      <c r="R51" s="23">
        <v>132.0</v>
      </c>
      <c r="S51" s="23">
        <v>104.0</v>
      </c>
      <c r="T51" s="23">
        <v>193.0</v>
      </c>
      <c r="U51" s="35">
        <f t="shared" si="33"/>
        <v>280</v>
      </c>
      <c r="V51" s="35">
        <f t="shared" si="34"/>
        <v>104</v>
      </c>
      <c r="W51" s="56">
        <f t="shared" si="35"/>
        <v>164.2222222</v>
      </c>
      <c r="X51" s="36">
        <f t="shared" si="36"/>
        <v>104</v>
      </c>
      <c r="Y51" s="36" t="str">
        <f t="shared" si="37"/>
        <v>&gt;</v>
      </c>
      <c r="Z51" s="36">
        <f t="shared" si="38"/>
        <v>82.11111111</v>
      </c>
      <c r="AA51" s="42">
        <v>300.0</v>
      </c>
      <c r="AB51" s="39" t="str">
        <f t="shared" si="39"/>
        <v>SI</v>
      </c>
      <c r="AC51" s="39" t="str">
        <f t="shared" si="40"/>
        <v>NO</v>
      </c>
      <c r="AD51" s="40" t="str">
        <f t="shared" si="31"/>
        <v>0</v>
      </c>
      <c r="AE51" s="40" t="str">
        <f t="shared" si="32"/>
        <v>1</v>
      </c>
    </row>
    <row r="52" ht="24.0" customHeight="1">
      <c r="A52" s="1"/>
      <c r="B52" s="31">
        <v>41.0</v>
      </c>
      <c r="C52" s="45" t="s">
        <v>65</v>
      </c>
      <c r="D52" s="33" t="s">
        <v>28</v>
      </c>
      <c r="E52" s="33" t="s">
        <v>28</v>
      </c>
      <c r="F52" s="33" t="s">
        <v>28</v>
      </c>
      <c r="G52" s="33" t="s">
        <v>28</v>
      </c>
      <c r="H52" s="33" t="s">
        <v>28</v>
      </c>
      <c r="I52" s="33" t="s">
        <v>28</v>
      </c>
      <c r="J52" s="33" t="s">
        <v>28</v>
      </c>
      <c r="K52" s="33" t="s">
        <v>28</v>
      </c>
      <c r="L52" s="23">
        <v>238.0</v>
      </c>
      <c r="M52" s="23">
        <v>202.0</v>
      </c>
      <c r="N52" s="33" t="s">
        <v>28</v>
      </c>
      <c r="O52" s="33" t="s">
        <v>28</v>
      </c>
      <c r="P52" s="33" t="s">
        <v>28</v>
      </c>
      <c r="Q52" s="33" t="s">
        <v>28</v>
      </c>
      <c r="R52" s="33" t="s">
        <v>28</v>
      </c>
      <c r="S52" s="33" t="s">
        <v>28</v>
      </c>
      <c r="T52" s="33" t="s">
        <v>28</v>
      </c>
      <c r="U52" s="35">
        <f t="shared" si="33"/>
        <v>238</v>
      </c>
      <c r="V52" s="35">
        <f t="shared" si="34"/>
        <v>202</v>
      </c>
      <c r="W52" s="56">
        <f t="shared" si="35"/>
        <v>220</v>
      </c>
      <c r="X52" s="36">
        <f t="shared" si="36"/>
        <v>202</v>
      </c>
      <c r="Y52" s="36" t="str">
        <f t="shared" si="37"/>
        <v>&gt;</v>
      </c>
      <c r="Z52" s="36">
        <f t="shared" si="38"/>
        <v>110</v>
      </c>
      <c r="AA52" s="42">
        <v>100.0</v>
      </c>
      <c r="AB52" s="39" t="str">
        <f t="shared" si="39"/>
        <v>SI</v>
      </c>
      <c r="AC52" s="39" t="str">
        <f t="shared" si="40"/>
        <v>SI</v>
      </c>
      <c r="AD52" s="40" t="str">
        <f t="shared" si="31"/>
        <v>0</v>
      </c>
      <c r="AE52" s="40" t="str">
        <f t="shared" si="32"/>
        <v>0</v>
      </c>
    </row>
    <row r="53" ht="24.0" customHeight="1">
      <c r="A53" s="1"/>
      <c r="B53" s="33">
        <v>42.0</v>
      </c>
      <c r="C53" s="41" t="s">
        <v>66</v>
      </c>
      <c r="D53" s="33">
        <v>3.78</v>
      </c>
      <c r="E53" s="33">
        <v>2.67</v>
      </c>
      <c r="F53" s="33">
        <v>4.25</v>
      </c>
      <c r="G53" s="34">
        <f t="shared" ref="G53:G57" si="44">+(D53*E53)/(F53*(D53+E53))</f>
        <v>0.3681751026</v>
      </c>
      <c r="H53" s="33">
        <v>1.0</v>
      </c>
      <c r="I53" s="33">
        <v>2.0</v>
      </c>
      <c r="J53" s="33">
        <f t="shared" ref="J53:J57" si="45">+H53+I53</f>
        <v>3</v>
      </c>
      <c r="K53" s="33">
        <f t="shared" ref="K53:K57" si="46">POWER(J53,2)</f>
        <v>9</v>
      </c>
      <c r="L53" s="23">
        <v>350.0</v>
      </c>
      <c r="M53" s="23">
        <v>403.0</v>
      </c>
      <c r="N53" s="23">
        <v>388.0</v>
      </c>
      <c r="O53" s="23">
        <v>428.0</v>
      </c>
      <c r="P53" s="23">
        <v>480.0</v>
      </c>
      <c r="Q53" s="23">
        <v>306.0</v>
      </c>
      <c r="R53" s="23">
        <v>296.0</v>
      </c>
      <c r="S53" s="23">
        <v>300.0</v>
      </c>
      <c r="T53" s="23">
        <v>304.0</v>
      </c>
      <c r="U53" s="35">
        <f t="shared" si="33"/>
        <v>480</v>
      </c>
      <c r="V53" s="35">
        <f t="shared" si="34"/>
        <v>296</v>
      </c>
      <c r="W53" s="56">
        <f t="shared" si="35"/>
        <v>361.6666667</v>
      </c>
      <c r="X53" s="36">
        <f t="shared" si="36"/>
        <v>296</v>
      </c>
      <c r="Y53" s="36" t="str">
        <f t="shared" si="37"/>
        <v>&gt;</v>
      </c>
      <c r="Z53" s="36">
        <f t="shared" si="38"/>
        <v>180.8333333</v>
      </c>
      <c r="AA53" s="42">
        <v>300.0</v>
      </c>
      <c r="AB53" s="39" t="str">
        <f t="shared" si="39"/>
        <v>SI</v>
      </c>
      <c r="AC53" s="39" t="str">
        <f t="shared" si="40"/>
        <v>SI</v>
      </c>
      <c r="AD53" s="40" t="str">
        <f t="shared" si="31"/>
        <v>0</v>
      </c>
      <c r="AE53" s="40" t="str">
        <f t="shared" si="32"/>
        <v>0</v>
      </c>
    </row>
    <row r="54" ht="24.0" customHeight="1">
      <c r="A54" s="1"/>
      <c r="B54" s="33">
        <v>43.0</v>
      </c>
      <c r="C54" s="41" t="s">
        <v>67</v>
      </c>
      <c r="D54" s="33">
        <v>7.77</v>
      </c>
      <c r="E54" s="33">
        <v>4.19</v>
      </c>
      <c r="F54" s="33">
        <v>2.94</v>
      </c>
      <c r="G54" s="21">
        <f t="shared" si="44"/>
        <v>0.9258838987</v>
      </c>
      <c r="H54" s="33">
        <v>1.0</v>
      </c>
      <c r="I54" s="33">
        <v>2.0</v>
      </c>
      <c r="J54" s="33">
        <f t="shared" si="45"/>
        <v>3</v>
      </c>
      <c r="K54" s="33">
        <f t="shared" si="46"/>
        <v>9</v>
      </c>
      <c r="L54" s="23">
        <v>224.0</v>
      </c>
      <c r="M54" s="23">
        <v>163.0</v>
      </c>
      <c r="N54" s="23">
        <v>175.0</v>
      </c>
      <c r="O54" s="23">
        <v>209.0</v>
      </c>
      <c r="P54" s="23">
        <v>195.0</v>
      </c>
      <c r="Q54" s="23">
        <v>129.0</v>
      </c>
      <c r="R54" s="23">
        <v>204.0</v>
      </c>
      <c r="S54" s="23">
        <v>187.0</v>
      </c>
      <c r="T54" s="23">
        <v>215.0</v>
      </c>
      <c r="U54" s="35">
        <f t="shared" si="33"/>
        <v>224</v>
      </c>
      <c r="V54" s="35">
        <f t="shared" si="34"/>
        <v>129</v>
      </c>
      <c r="W54" s="56">
        <f t="shared" si="35"/>
        <v>189</v>
      </c>
      <c r="X54" s="36">
        <f t="shared" si="36"/>
        <v>129</v>
      </c>
      <c r="Y54" s="36" t="str">
        <f t="shared" si="37"/>
        <v>&gt;</v>
      </c>
      <c r="Z54" s="36">
        <f t="shared" si="38"/>
        <v>94.5</v>
      </c>
      <c r="AA54" s="42">
        <v>500.0</v>
      </c>
      <c r="AB54" s="39" t="str">
        <f t="shared" si="39"/>
        <v>SI</v>
      </c>
      <c r="AC54" s="39" t="str">
        <f t="shared" si="40"/>
        <v>NO</v>
      </c>
      <c r="AD54" s="40" t="str">
        <f t="shared" si="31"/>
        <v>0</v>
      </c>
      <c r="AE54" s="40" t="str">
        <f t="shared" si="32"/>
        <v>1</v>
      </c>
    </row>
    <row r="55" ht="24.0" customHeight="1">
      <c r="A55" s="1"/>
      <c r="B55" s="31">
        <v>44.0</v>
      </c>
      <c r="C55" s="41" t="s">
        <v>68</v>
      </c>
      <c r="D55" s="33">
        <v>2.63</v>
      </c>
      <c r="E55" s="33">
        <v>4.18</v>
      </c>
      <c r="F55" s="33">
        <v>2.94</v>
      </c>
      <c r="G55" s="34">
        <f t="shared" si="44"/>
        <v>0.5490824817</v>
      </c>
      <c r="H55" s="33">
        <v>1.0</v>
      </c>
      <c r="I55" s="33">
        <v>2.0</v>
      </c>
      <c r="J55" s="33">
        <f t="shared" si="45"/>
        <v>3</v>
      </c>
      <c r="K55" s="33">
        <f t="shared" si="46"/>
        <v>9</v>
      </c>
      <c r="L55" s="23">
        <v>206.0</v>
      </c>
      <c r="M55" s="23">
        <v>203.0</v>
      </c>
      <c r="N55" s="23">
        <v>192.0</v>
      </c>
      <c r="O55" s="23">
        <v>229.0</v>
      </c>
      <c r="P55" s="23">
        <v>234.0</v>
      </c>
      <c r="Q55" s="23">
        <v>258.0</v>
      </c>
      <c r="R55" s="23">
        <v>198.0</v>
      </c>
      <c r="S55" s="23">
        <v>207.0</v>
      </c>
      <c r="T55" s="23">
        <v>233.0</v>
      </c>
      <c r="U55" s="35">
        <f t="shared" si="33"/>
        <v>258</v>
      </c>
      <c r="V55" s="35">
        <f t="shared" si="34"/>
        <v>192</v>
      </c>
      <c r="W55" s="56">
        <f t="shared" si="35"/>
        <v>217.7777778</v>
      </c>
      <c r="X55" s="36">
        <f t="shared" si="36"/>
        <v>192</v>
      </c>
      <c r="Y55" s="36" t="str">
        <f t="shared" si="37"/>
        <v>&gt;</v>
      </c>
      <c r="Z55" s="36">
        <f t="shared" si="38"/>
        <v>108.8888889</v>
      </c>
      <c r="AA55" s="42">
        <v>300.0</v>
      </c>
      <c r="AB55" s="39" t="str">
        <f t="shared" si="39"/>
        <v>SI</v>
      </c>
      <c r="AC55" s="39" t="str">
        <f t="shared" si="40"/>
        <v>NO</v>
      </c>
      <c r="AD55" s="40" t="str">
        <f t="shared" si="31"/>
        <v>0</v>
      </c>
      <c r="AE55" s="40" t="str">
        <f t="shared" si="32"/>
        <v>1</v>
      </c>
    </row>
    <row r="56" ht="24.0" customHeight="1">
      <c r="A56" s="1"/>
      <c r="B56" s="33">
        <v>45.0</v>
      </c>
      <c r="C56" s="41" t="s">
        <v>69</v>
      </c>
      <c r="D56" s="33">
        <v>2.75</v>
      </c>
      <c r="E56" s="33">
        <v>4.21</v>
      </c>
      <c r="F56" s="33">
        <v>2.94</v>
      </c>
      <c r="G56" s="34">
        <f t="shared" si="44"/>
        <v>0.5657938463</v>
      </c>
      <c r="H56" s="33">
        <v>1.0</v>
      </c>
      <c r="I56" s="33">
        <v>2.0</v>
      </c>
      <c r="J56" s="33">
        <f t="shared" si="45"/>
        <v>3</v>
      </c>
      <c r="K56" s="33">
        <f t="shared" si="46"/>
        <v>9</v>
      </c>
      <c r="L56" s="23">
        <v>105.0</v>
      </c>
      <c r="M56" s="23">
        <v>124.0</v>
      </c>
      <c r="N56" s="23">
        <v>106.0</v>
      </c>
      <c r="O56" s="23">
        <v>199.0</v>
      </c>
      <c r="P56" s="23">
        <v>105.0</v>
      </c>
      <c r="Q56" s="23">
        <v>95.0</v>
      </c>
      <c r="R56" s="23">
        <v>158.0</v>
      </c>
      <c r="S56" s="23">
        <v>96.0</v>
      </c>
      <c r="T56" s="23">
        <v>94.0</v>
      </c>
      <c r="U56" s="35">
        <f t="shared" si="33"/>
        <v>199</v>
      </c>
      <c r="V56" s="35">
        <f t="shared" si="34"/>
        <v>94</v>
      </c>
      <c r="W56" s="56">
        <f t="shared" si="35"/>
        <v>120.2222222</v>
      </c>
      <c r="X56" s="36">
        <f t="shared" si="36"/>
        <v>94</v>
      </c>
      <c r="Y56" s="36" t="str">
        <f t="shared" si="37"/>
        <v>&gt;</v>
      </c>
      <c r="Z56" s="36">
        <f t="shared" si="38"/>
        <v>60.11111111</v>
      </c>
      <c r="AA56" s="42">
        <v>50.0</v>
      </c>
      <c r="AB56" s="39" t="str">
        <f t="shared" si="39"/>
        <v>SI</v>
      </c>
      <c r="AC56" s="39" t="str">
        <f t="shared" si="40"/>
        <v>SI</v>
      </c>
      <c r="AD56" s="40" t="str">
        <f t="shared" si="31"/>
        <v>0</v>
      </c>
      <c r="AE56" s="40" t="str">
        <f t="shared" si="32"/>
        <v>0</v>
      </c>
    </row>
    <row r="57" ht="24.0" customHeight="1">
      <c r="A57" s="1"/>
      <c r="B57" s="33">
        <v>46.0</v>
      </c>
      <c r="C57" s="41" t="s">
        <v>70</v>
      </c>
      <c r="D57" s="33">
        <v>7.09</v>
      </c>
      <c r="E57" s="33">
        <v>7.72</v>
      </c>
      <c r="F57" s="33">
        <v>3.0</v>
      </c>
      <c r="G57" s="43">
        <f t="shared" si="44"/>
        <v>1.231933378</v>
      </c>
      <c r="H57" s="33">
        <v>1.0</v>
      </c>
      <c r="I57" s="33">
        <v>2.0</v>
      </c>
      <c r="J57" s="33">
        <f t="shared" si="45"/>
        <v>3</v>
      </c>
      <c r="K57" s="33">
        <f t="shared" si="46"/>
        <v>9</v>
      </c>
      <c r="L57" s="23">
        <v>750.0</v>
      </c>
      <c r="M57" s="23">
        <v>615.0</v>
      </c>
      <c r="N57" s="23">
        <v>453.0</v>
      </c>
      <c r="O57" s="23">
        <v>336.0</v>
      </c>
      <c r="P57" s="23">
        <v>298.0</v>
      </c>
      <c r="Q57" s="23">
        <v>245.0</v>
      </c>
      <c r="R57" s="23">
        <v>430.0</v>
      </c>
      <c r="S57" s="23">
        <v>236.0</v>
      </c>
      <c r="T57" s="23">
        <v>504.0</v>
      </c>
      <c r="U57" s="35">
        <f t="shared" si="33"/>
        <v>750</v>
      </c>
      <c r="V57" s="35">
        <f t="shared" si="34"/>
        <v>236</v>
      </c>
      <c r="W57" s="56">
        <f t="shared" si="35"/>
        <v>429.6666667</v>
      </c>
      <c r="X57" s="36">
        <f t="shared" si="36"/>
        <v>236</v>
      </c>
      <c r="Y57" s="36" t="str">
        <f t="shared" si="37"/>
        <v>&gt;</v>
      </c>
      <c r="Z57" s="36">
        <f t="shared" si="38"/>
        <v>214.8333333</v>
      </c>
      <c r="AA57" s="42">
        <v>300.0</v>
      </c>
      <c r="AB57" s="39" t="str">
        <f t="shared" si="39"/>
        <v>SI</v>
      </c>
      <c r="AC57" s="39" t="str">
        <f t="shared" si="40"/>
        <v>SI</v>
      </c>
      <c r="AD57" s="40" t="str">
        <f t="shared" si="31"/>
        <v>0</v>
      </c>
      <c r="AE57" s="40" t="str">
        <f t="shared" si="32"/>
        <v>0</v>
      </c>
    </row>
    <row r="58" ht="24.0" customHeight="1">
      <c r="A58" s="1"/>
      <c r="B58" s="31">
        <v>47.0</v>
      </c>
      <c r="C58" s="41" t="s">
        <v>88</v>
      </c>
      <c r="D58" s="33" t="s">
        <v>28</v>
      </c>
      <c r="E58" s="33" t="s">
        <v>28</v>
      </c>
      <c r="F58" s="33" t="s">
        <v>28</v>
      </c>
      <c r="G58" s="33" t="s">
        <v>28</v>
      </c>
      <c r="H58" s="33" t="s">
        <v>28</v>
      </c>
      <c r="I58" s="33" t="s">
        <v>28</v>
      </c>
      <c r="J58" s="33" t="s">
        <v>28</v>
      </c>
      <c r="K58" s="33" t="s">
        <v>28</v>
      </c>
      <c r="L58" s="23">
        <v>246.0</v>
      </c>
      <c r="M58" s="23">
        <v>230.0</v>
      </c>
      <c r="N58" s="33">
        <v>214.0</v>
      </c>
      <c r="O58" s="33" t="s">
        <v>28</v>
      </c>
      <c r="P58" s="33" t="s">
        <v>28</v>
      </c>
      <c r="Q58" s="33" t="s">
        <v>28</v>
      </c>
      <c r="R58" s="33" t="s">
        <v>28</v>
      </c>
      <c r="S58" s="33" t="s">
        <v>28</v>
      </c>
      <c r="T58" s="33" t="s">
        <v>28</v>
      </c>
      <c r="U58" s="35">
        <f t="shared" si="33"/>
        <v>246</v>
      </c>
      <c r="V58" s="35">
        <f t="shared" si="34"/>
        <v>214</v>
      </c>
      <c r="W58" s="56">
        <f t="shared" si="35"/>
        <v>230</v>
      </c>
      <c r="X58" s="36">
        <f t="shared" si="36"/>
        <v>214</v>
      </c>
      <c r="Y58" s="36" t="str">
        <f t="shared" si="37"/>
        <v>&gt;</v>
      </c>
      <c r="Z58" s="36">
        <f t="shared" si="38"/>
        <v>115</v>
      </c>
      <c r="AA58" s="42">
        <v>300.0</v>
      </c>
      <c r="AB58" s="39" t="str">
        <f t="shared" si="39"/>
        <v>SI</v>
      </c>
      <c r="AC58" s="39" t="str">
        <f t="shared" si="40"/>
        <v>NO</v>
      </c>
      <c r="AD58" s="40" t="str">
        <f t="shared" si="31"/>
        <v>0</v>
      </c>
      <c r="AE58" s="40" t="str">
        <f t="shared" si="32"/>
        <v>1</v>
      </c>
    </row>
    <row r="59" ht="24.0" customHeight="1">
      <c r="A59" s="1"/>
      <c r="B59" s="33">
        <v>48.0</v>
      </c>
      <c r="C59" s="41" t="s">
        <v>89</v>
      </c>
      <c r="D59" s="33" t="s">
        <v>28</v>
      </c>
      <c r="E59" s="33" t="s">
        <v>28</v>
      </c>
      <c r="F59" s="33" t="s">
        <v>28</v>
      </c>
      <c r="G59" s="33" t="s">
        <v>28</v>
      </c>
      <c r="H59" s="33" t="s">
        <v>28</v>
      </c>
      <c r="I59" s="33" t="s">
        <v>28</v>
      </c>
      <c r="J59" s="33" t="s">
        <v>28</v>
      </c>
      <c r="K59" s="33" t="s">
        <v>28</v>
      </c>
      <c r="L59" s="23">
        <v>230.0</v>
      </c>
      <c r="M59" s="23">
        <v>220.0</v>
      </c>
      <c r="N59" s="33" t="s">
        <v>28</v>
      </c>
      <c r="O59" s="33" t="s">
        <v>28</v>
      </c>
      <c r="P59" s="33" t="s">
        <v>28</v>
      </c>
      <c r="Q59" s="33" t="s">
        <v>28</v>
      </c>
      <c r="R59" s="33" t="s">
        <v>28</v>
      </c>
      <c r="S59" s="33" t="s">
        <v>28</v>
      </c>
      <c r="T59" s="33" t="s">
        <v>28</v>
      </c>
      <c r="U59" s="35">
        <f t="shared" si="33"/>
        <v>230</v>
      </c>
      <c r="V59" s="35">
        <f t="shared" si="34"/>
        <v>220</v>
      </c>
      <c r="W59" s="56">
        <f t="shared" si="35"/>
        <v>225</v>
      </c>
      <c r="X59" s="36">
        <f t="shared" si="36"/>
        <v>220</v>
      </c>
      <c r="Y59" s="36" t="str">
        <f t="shared" si="37"/>
        <v>&gt;</v>
      </c>
      <c r="Z59" s="36">
        <f t="shared" si="38"/>
        <v>112.5</v>
      </c>
      <c r="AA59" s="42">
        <v>100.0</v>
      </c>
      <c r="AB59" s="39" t="str">
        <f t="shared" si="39"/>
        <v>SI</v>
      </c>
      <c r="AC59" s="39" t="str">
        <f t="shared" si="40"/>
        <v>SI</v>
      </c>
      <c r="AD59" s="40" t="str">
        <f t="shared" si="31"/>
        <v>0</v>
      </c>
      <c r="AE59" s="40" t="str">
        <f t="shared" si="32"/>
        <v>0</v>
      </c>
    </row>
    <row r="60" ht="26.25" customHeight="1">
      <c r="A60" s="1"/>
      <c r="B60" s="33">
        <v>49.0</v>
      </c>
      <c r="C60" s="41" t="s">
        <v>71</v>
      </c>
      <c r="D60" s="33">
        <v>12.0</v>
      </c>
      <c r="E60" s="33">
        <v>6.0</v>
      </c>
      <c r="F60" s="33">
        <v>4.0</v>
      </c>
      <c r="G60" s="43">
        <f t="shared" ref="G60:G61" si="47">+(D60*E60)/(F60*(D60+E60))</f>
        <v>1</v>
      </c>
      <c r="H60" s="33">
        <v>1.0</v>
      </c>
      <c r="I60" s="33">
        <v>2.0</v>
      </c>
      <c r="J60" s="33">
        <f t="shared" ref="J60:J61" si="48">+H60+I60</f>
        <v>3</v>
      </c>
      <c r="K60" s="33">
        <f t="shared" ref="K60:K61" si="49">POWER(J60,2)</f>
        <v>9</v>
      </c>
      <c r="L60" s="23">
        <v>126.0</v>
      </c>
      <c r="M60" s="23">
        <v>124.0</v>
      </c>
      <c r="N60" s="23">
        <v>116.0</v>
      </c>
      <c r="O60" s="23">
        <v>78.0</v>
      </c>
      <c r="P60" s="23">
        <v>106.0</v>
      </c>
      <c r="Q60" s="23">
        <v>140.0</v>
      </c>
      <c r="R60" s="23">
        <v>217.0</v>
      </c>
      <c r="S60" s="23">
        <v>161.0</v>
      </c>
      <c r="T60" s="23">
        <v>145.0</v>
      </c>
      <c r="U60" s="35">
        <f t="shared" si="33"/>
        <v>217</v>
      </c>
      <c r="V60" s="35">
        <f t="shared" si="34"/>
        <v>78</v>
      </c>
      <c r="W60" s="56">
        <f t="shared" si="35"/>
        <v>134.7777778</v>
      </c>
      <c r="X60" s="36">
        <f t="shared" si="36"/>
        <v>78</v>
      </c>
      <c r="Y60" s="36" t="str">
        <f t="shared" si="37"/>
        <v>&gt;</v>
      </c>
      <c r="Z60" s="36">
        <f t="shared" si="38"/>
        <v>67.38888889</v>
      </c>
      <c r="AA60" s="42">
        <v>300.0</v>
      </c>
      <c r="AB60" s="39" t="str">
        <f t="shared" si="39"/>
        <v>SI</v>
      </c>
      <c r="AC60" s="39" t="str">
        <f t="shared" si="40"/>
        <v>NO</v>
      </c>
      <c r="AD60" s="40" t="str">
        <f t="shared" si="31"/>
        <v>0</v>
      </c>
      <c r="AE60" s="40" t="str">
        <f t="shared" si="32"/>
        <v>1</v>
      </c>
    </row>
    <row r="61" ht="27.75" customHeight="1">
      <c r="A61" s="1"/>
      <c r="B61" s="31">
        <v>50.0</v>
      </c>
      <c r="C61" s="41" t="s">
        <v>72</v>
      </c>
      <c r="D61" s="33">
        <v>4.0</v>
      </c>
      <c r="E61" s="33">
        <v>2.0</v>
      </c>
      <c r="F61" s="33">
        <v>3.0</v>
      </c>
      <c r="G61" s="43">
        <f t="shared" si="47"/>
        <v>0.4444444444</v>
      </c>
      <c r="H61" s="33">
        <v>1.0</v>
      </c>
      <c r="I61" s="33">
        <v>2.0</v>
      </c>
      <c r="J61" s="33">
        <f t="shared" si="48"/>
        <v>3</v>
      </c>
      <c r="K61" s="33">
        <f t="shared" si="49"/>
        <v>9</v>
      </c>
      <c r="L61" s="23"/>
      <c r="M61" s="23"/>
      <c r="N61" s="23"/>
      <c r="O61" s="23"/>
      <c r="P61" s="23"/>
      <c r="Q61" s="23"/>
      <c r="R61" s="23"/>
      <c r="S61" s="23"/>
      <c r="T61" s="23"/>
      <c r="U61" s="35">
        <f t="shared" si="33"/>
        <v>0</v>
      </c>
      <c r="V61" s="35">
        <f t="shared" si="34"/>
        <v>0</v>
      </c>
      <c r="W61" s="56" t="str">
        <f t="shared" si="35"/>
        <v>#DIV/0!</v>
      </c>
      <c r="X61" s="36">
        <f t="shared" si="36"/>
        <v>0</v>
      </c>
      <c r="Y61" s="36" t="str">
        <f t="shared" si="37"/>
        <v>#DIV/0!</v>
      </c>
      <c r="Z61" s="36" t="str">
        <f t="shared" si="38"/>
        <v>#DIV/0!</v>
      </c>
      <c r="AA61" s="42">
        <v>100.0</v>
      </c>
      <c r="AB61" s="39" t="str">
        <f t="shared" si="39"/>
        <v>#DIV/0!</v>
      </c>
      <c r="AC61" s="39" t="str">
        <f t="shared" si="40"/>
        <v>#DIV/0!</v>
      </c>
      <c r="AD61" s="40" t="str">
        <f t="shared" si="31"/>
        <v>#DIV/0!</v>
      </c>
      <c r="AE61" s="40" t="str">
        <f t="shared" si="32"/>
        <v>#DIV/0!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W62" s="1"/>
      <c r="X62" s="1"/>
      <c r="Y62" s="1"/>
      <c r="Z62" s="1"/>
      <c r="AA62" s="1"/>
      <c r="AB62" s="1"/>
      <c r="AC62" s="1"/>
      <c r="AD62" s="46" t="str">
        <f>+AD5+AD9+AD10+AD11+AD12+AD13+AD14+AD15+AD16+AD18+AD19+AD20+AD21+AD22+AD23+AD24+AD25+AD26+AD27+AD28+AD29+AD30+AD35+AD36+AD32+AD33+AD37+AD38+AD39+AD40+AD41+AD42+AD43+AD44+AD45+#REF!+AD46+AD47+AD48+AD49+AD50+AD51+AD52+AD53+AD54+AD55+AD56+AD57+AD58+AD59+AD60+AD61</f>
        <v>#REF!</v>
      </c>
      <c r="AE62" s="47" t="str">
        <f>+AE5+AE9+AE10+AE11+AE12+AE13+AE14+AE15+AE16+AE18+AE19+AE20+AE21+AE22+AE23+AE24+AE25+AE26+AE27+AE28+AE29+AE30+AE31+AE34+AE35+AE36+AE32+AE33+AE37+AE38+AE39+AE40+AE41+AE42+AE43+AE44+AE45+#REF!+AE46+AE47+AE48+AE49+AE50+AE51+AE52+AE53+AE54+AE55+AE56+AE57+AE58+AE59+AE60+AE61</f>
        <v>#REF!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1">
        <f>COUNT(L5:T31,L32:T61)</f>
        <v>384</v>
      </c>
      <c r="M67" s="1"/>
      <c r="N67" s="1"/>
      <c r="O67" s="1"/>
      <c r="P67" s="1"/>
      <c r="Q67" s="1"/>
      <c r="R67" s="1"/>
      <c r="S67" s="1"/>
      <c r="T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1"/>
      <c r="C73" s="1"/>
      <c r="D73" s="1"/>
      <c r="E73" s="1"/>
      <c r="F73" s="1"/>
      <c r="G73" s="1">
        <f>AVERAGE(F52:H72)</f>
        <v>1.674062531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75">
    <mergeCell ref="D3:F3"/>
    <mergeCell ref="L3:T3"/>
    <mergeCell ref="W3:W4"/>
    <mergeCell ref="X3:Z4"/>
    <mergeCell ref="AA3:AA4"/>
    <mergeCell ref="AB3:AB4"/>
    <mergeCell ref="AC3:AC4"/>
    <mergeCell ref="AD3:AD4"/>
    <mergeCell ref="AE3:AE4"/>
    <mergeCell ref="C1:T1"/>
    <mergeCell ref="B2:AC2"/>
    <mergeCell ref="B3:B4"/>
    <mergeCell ref="C3:C4"/>
    <mergeCell ref="G3:G4"/>
    <mergeCell ref="H3:H4"/>
    <mergeCell ref="K3:K4"/>
    <mergeCell ref="G5:G8"/>
    <mergeCell ref="H5:H8"/>
    <mergeCell ref="K5:K8"/>
    <mergeCell ref="Z5:Z8"/>
    <mergeCell ref="AA5:AA8"/>
    <mergeCell ref="AB5:AB8"/>
    <mergeCell ref="AC5:AC8"/>
    <mergeCell ref="AD5:AD7"/>
    <mergeCell ref="AE5:AE7"/>
    <mergeCell ref="U3:U4"/>
    <mergeCell ref="V3:V4"/>
    <mergeCell ref="U5:U7"/>
    <mergeCell ref="V5:V7"/>
    <mergeCell ref="W5:W8"/>
    <mergeCell ref="X5:X8"/>
    <mergeCell ref="Y5:Y8"/>
    <mergeCell ref="L35:T35"/>
    <mergeCell ref="U35:U36"/>
    <mergeCell ref="X35:Z36"/>
    <mergeCell ref="AA35:AA36"/>
    <mergeCell ref="AB35:AB36"/>
    <mergeCell ref="AC35:AC36"/>
    <mergeCell ref="B34:AC34"/>
    <mergeCell ref="B35:B36"/>
    <mergeCell ref="C35:C36"/>
    <mergeCell ref="D35:F35"/>
    <mergeCell ref="G35:G36"/>
    <mergeCell ref="H35:H36"/>
    <mergeCell ref="I35:I36"/>
    <mergeCell ref="I5:I8"/>
    <mergeCell ref="J5:J8"/>
    <mergeCell ref="I3:I4"/>
    <mergeCell ref="J3:J4"/>
    <mergeCell ref="B5:B8"/>
    <mergeCell ref="C5:C8"/>
    <mergeCell ref="D5:D8"/>
    <mergeCell ref="E5:E8"/>
    <mergeCell ref="F5:F8"/>
    <mergeCell ref="B16:B17"/>
    <mergeCell ref="C16:C17"/>
    <mergeCell ref="D16:D17"/>
    <mergeCell ref="E16:E17"/>
    <mergeCell ref="F16:F17"/>
    <mergeCell ref="G16:G17"/>
    <mergeCell ref="H16:H17"/>
    <mergeCell ref="AA16:AA17"/>
    <mergeCell ref="AB16:AB17"/>
    <mergeCell ref="AC16:AC17"/>
    <mergeCell ref="I16:I17"/>
    <mergeCell ref="J16:J17"/>
    <mergeCell ref="K16:K17"/>
    <mergeCell ref="W16:W17"/>
    <mergeCell ref="X16:X17"/>
    <mergeCell ref="Y16:Y17"/>
    <mergeCell ref="Z16:Z17"/>
    <mergeCell ref="J35:J36"/>
    <mergeCell ref="K35:K36"/>
    <mergeCell ref="V35:V36"/>
    <mergeCell ref="W35:W36"/>
  </mergeCells>
  <conditionalFormatting sqref="AB5:AE5 AB9:AE33 AB37:AC61 AD34:AE62">
    <cfRule type="cellIs" dxfId="0" priority="1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39.43"/>
    <col customWidth="1" min="4" max="4" width="8.71"/>
    <col customWidth="1" min="5" max="5" width="8.29"/>
    <col customWidth="1" min="6" max="6" width="6.86"/>
    <col customWidth="1" min="7" max="7" width="7.57"/>
    <col customWidth="1" min="8" max="8" width="6.86"/>
    <col customWidth="1" min="9" max="9" width="9.43"/>
    <col customWidth="1" min="10" max="10" width="7.71"/>
    <col customWidth="1" min="11" max="11" width="8.14"/>
    <col customWidth="1" min="12" max="27" width="5.71"/>
    <col customWidth="1" min="28" max="29" width="8.0"/>
    <col customWidth="1" min="30" max="30" width="8.86"/>
    <col customWidth="1" min="31" max="31" width="6.29"/>
    <col customWidth="1" min="32" max="33" width="4.71"/>
    <col customWidth="1" min="34" max="34" width="9.29"/>
    <col customWidth="1" min="35" max="35" width="15.14"/>
    <col customWidth="1" min="36" max="36" width="14.43"/>
    <col customWidth="1" min="37" max="37" width="11.43"/>
    <col customWidth="1" min="38" max="38" width="12.43"/>
  </cols>
  <sheetData>
    <row r="1">
      <c r="A1" s="1"/>
      <c r="B1" s="1"/>
      <c r="C1" s="2" t="s">
        <v>0</v>
      </c>
      <c r="AA1" s="2"/>
      <c r="AD1" s="1"/>
      <c r="AE1" s="1"/>
      <c r="AF1" s="1"/>
      <c r="AG1" s="1"/>
      <c r="AH1" s="1"/>
      <c r="AI1" s="1"/>
      <c r="AJ1" s="1"/>
      <c r="AK1" s="1"/>
      <c r="AL1" s="1"/>
    </row>
    <row r="2" ht="15.0" customHeight="1">
      <c r="A2" s="1"/>
      <c r="B2" s="52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4"/>
      <c r="AK2" s="1"/>
      <c r="AL2" s="5" t="s">
        <v>2</v>
      </c>
    </row>
    <row r="3" ht="15.0" customHeight="1">
      <c r="A3" s="1"/>
      <c r="B3" s="6" t="s">
        <v>3</v>
      </c>
      <c r="C3" s="6" t="s">
        <v>4</v>
      </c>
      <c r="D3" s="7" t="s">
        <v>5</v>
      </c>
      <c r="E3" s="8"/>
      <c r="F3" s="9"/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7" t="s">
        <v>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1" t="s">
        <v>12</v>
      </c>
      <c r="AC3" s="11" t="s">
        <v>13</v>
      </c>
      <c r="AD3" s="6" t="s">
        <v>15</v>
      </c>
      <c r="AE3" s="12" t="s">
        <v>14</v>
      </c>
      <c r="AF3" s="13"/>
      <c r="AG3" s="14"/>
      <c r="AH3" s="6" t="s">
        <v>16</v>
      </c>
      <c r="AI3" s="6" t="s">
        <v>17</v>
      </c>
      <c r="AJ3" s="6" t="s">
        <v>18</v>
      </c>
      <c r="AK3" s="6" t="s">
        <v>19</v>
      </c>
      <c r="AL3" s="6" t="s">
        <v>20</v>
      </c>
    </row>
    <row r="4" ht="33.0" customHeight="1">
      <c r="A4" s="1"/>
      <c r="B4" s="15"/>
      <c r="C4" s="15"/>
      <c r="D4" s="16" t="s">
        <v>21</v>
      </c>
      <c r="E4" s="16" t="s">
        <v>22</v>
      </c>
      <c r="F4" s="16" t="s">
        <v>23</v>
      </c>
      <c r="G4" s="15"/>
      <c r="H4" s="15"/>
      <c r="I4" s="15"/>
      <c r="J4" s="15"/>
      <c r="K4" s="15"/>
      <c r="L4" s="17">
        <v>1.0</v>
      </c>
      <c r="M4" s="17">
        <v>2.0</v>
      </c>
      <c r="N4" s="17">
        <v>3.0</v>
      </c>
      <c r="O4" s="17">
        <v>4.0</v>
      </c>
      <c r="P4" s="17">
        <v>5.0</v>
      </c>
      <c r="Q4" s="17">
        <v>6.0</v>
      </c>
      <c r="R4" s="17">
        <v>7.0</v>
      </c>
      <c r="S4" s="17">
        <v>8.0</v>
      </c>
      <c r="T4" s="17">
        <v>9.0</v>
      </c>
      <c r="U4" s="17">
        <v>10.0</v>
      </c>
      <c r="V4" s="17">
        <v>11.0</v>
      </c>
      <c r="W4" s="17">
        <v>12.0</v>
      </c>
      <c r="X4" s="17">
        <v>13.0</v>
      </c>
      <c r="Y4" s="17">
        <v>14.0</v>
      </c>
      <c r="Z4" s="17">
        <v>15.0</v>
      </c>
      <c r="AA4" s="17">
        <v>16.0</v>
      </c>
      <c r="AB4" s="15"/>
      <c r="AC4" s="15"/>
      <c r="AD4" s="15"/>
      <c r="AE4" s="18"/>
      <c r="AF4" s="19"/>
      <c r="AG4" s="20"/>
      <c r="AH4" s="15"/>
      <c r="AI4" s="15"/>
      <c r="AJ4" s="15"/>
      <c r="AK4" s="15"/>
      <c r="AL4" s="15"/>
    </row>
    <row r="5" ht="24.0" customHeight="1">
      <c r="A5" s="1"/>
      <c r="B5" s="21">
        <v>1.0</v>
      </c>
      <c r="C5" s="22" t="s">
        <v>24</v>
      </c>
      <c r="D5" s="21">
        <v>58.0</v>
      </c>
      <c r="E5" s="21">
        <v>70.0</v>
      </c>
      <c r="F5" s="21">
        <v>4.25</v>
      </c>
      <c r="G5" s="34">
        <f>+(D5*E5)/(F5*(D5+E5))</f>
        <v>7.463235294</v>
      </c>
      <c r="H5" s="21">
        <v>4.0</v>
      </c>
      <c r="I5" s="21">
        <v>2.0</v>
      </c>
      <c r="J5" s="21">
        <f>+H5+I5</f>
        <v>6</v>
      </c>
      <c r="K5" s="21">
        <f>POWER(J5,2)</f>
        <v>36</v>
      </c>
      <c r="L5" s="23">
        <v>461.0</v>
      </c>
      <c r="M5" s="23">
        <v>434.0</v>
      </c>
      <c r="N5" s="23">
        <v>403.0</v>
      </c>
      <c r="O5" s="23">
        <v>424.0</v>
      </c>
      <c r="P5" s="23">
        <v>414.0</v>
      </c>
      <c r="Q5" s="23">
        <v>403.0</v>
      </c>
      <c r="R5" s="23">
        <v>297.0</v>
      </c>
      <c r="S5" s="23">
        <v>352.0</v>
      </c>
      <c r="T5" s="23">
        <v>354.0</v>
      </c>
      <c r="U5" s="23">
        <v>482.0</v>
      </c>
      <c r="V5" s="23">
        <v>401.0</v>
      </c>
      <c r="W5" s="23">
        <v>397.0</v>
      </c>
      <c r="X5" s="23">
        <v>431.0</v>
      </c>
      <c r="Y5" s="23">
        <v>388.0</v>
      </c>
      <c r="Z5" s="23">
        <v>361.0</v>
      </c>
      <c r="AA5" s="23">
        <v>236.0</v>
      </c>
      <c r="AB5" s="24">
        <f>MAX(L5:AA7)</f>
        <v>594</v>
      </c>
      <c r="AC5" s="24">
        <f>MIN(L5:AA7)</f>
        <v>230</v>
      </c>
      <c r="AD5" s="57">
        <f>AVERAGE(L5:AA7)</f>
        <v>417.75</v>
      </c>
      <c r="AE5" s="21">
        <f>MIN(L5:Z6)</f>
        <v>230</v>
      </c>
      <c r="AF5" s="21" t="str">
        <f>IF(AE5&gt;AG5,"&gt;","&lt;")</f>
        <v>&gt;</v>
      </c>
      <c r="AG5" s="21">
        <f>+AD5/2</f>
        <v>208.875</v>
      </c>
      <c r="AH5" s="21">
        <v>500.0</v>
      </c>
      <c r="AI5" s="26" t="str">
        <f>IF(AE5&gt;AG5,"SI","NO")</f>
        <v>SI</v>
      </c>
      <c r="AJ5" s="26" t="str">
        <f>IF(AD5&gt;AH5,"SI","NO")</f>
        <v>NO</v>
      </c>
      <c r="AK5" s="27" t="str">
        <f>IF(AI5=AL$2,"1","0")</f>
        <v>0</v>
      </c>
      <c r="AL5" s="27" t="str">
        <f>IF(AJ5=AL$2,"1","0")</f>
        <v>1</v>
      </c>
    </row>
    <row r="6" ht="24.0" customHeight="1">
      <c r="A6" s="1"/>
      <c r="B6" s="28"/>
      <c r="C6" s="28"/>
      <c r="D6" s="28"/>
      <c r="E6" s="28"/>
      <c r="F6" s="28"/>
      <c r="G6" s="28"/>
      <c r="H6" s="28"/>
      <c r="I6" s="28"/>
      <c r="J6" s="28"/>
      <c r="K6" s="28"/>
      <c r="L6" s="23">
        <v>372.0</v>
      </c>
      <c r="M6" s="23">
        <v>402.0</v>
      </c>
      <c r="N6" s="23">
        <v>415.0</v>
      </c>
      <c r="O6" s="23">
        <v>375.0</v>
      </c>
      <c r="P6" s="23">
        <v>355.0</v>
      </c>
      <c r="Q6" s="23">
        <v>230.0</v>
      </c>
      <c r="R6" s="23">
        <v>399.0</v>
      </c>
      <c r="S6" s="23">
        <v>408.0</v>
      </c>
      <c r="T6" s="23">
        <v>444.0</v>
      </c>
      <c r="U6" s="23">
        <v>352.0</v>
      </c>
      <c r="V6" s="23">
        <v>463.0</v>
      </c>
      <c r="W6" s="23">
        <v>594.0</v>
      </c>
      <c r="X6" s="23">
        <v>588.0</v>
      </c>
      <c r="Y6" s="23">
        <v>554.0</v>
      </c>
      <c r="Z6" s="23">
        <v>581.0</v>
      </c>
      <c r="AA6" s="23">
        <v>478.0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ht="24.0" customHeight="1">
      <c r="A7" s="1"/>
      <c r="B7" s="15"/>
      <c r="C7" s="15"/>
      <c r="D7" s="15"/>
      <c r="E7" s="15"/>
      <c r="F7" s="15"/>
      <c r="G7" s="15"/>
      <c r="H7" s="15"/>
      <c r="I7" s="15"/>
      <c r="J7" s="15"/>
      <c r="K7" s="15"/>
      <c r="L7" s="23">
        <v>478.0</v>
      </c>
      <c r="M7" s="23">
        <v>438.0</v>
      </c>
      <c r="N7" s="23">
        <v>397.0</v>
      </c>
      <c r="O7" s="23">
        <v>478.0</v>
      </c>
      <c r="P7" s="33" t="s">
        <v>28</v>
      </c>
      <c r="Q7" s="33" t="s">
        <v>28</v>
      </c>
      <c r="R7" s="33" t="s">
        <v>28</v>
      </c>
      <c r="S7" s="33" t="s">
        <v>28</v>
      </c>
      <c r="T7" s="33" t="s">
        <v>28</v>
      </c>
      <c r="U7" s="33" t="s">
        <v>28</v>
      </c>
      <c r="V7" s="33" t="s">
        <v>28</v>
      </c>
      <c r="W7" s="33" t="s">
        <v>28</v>
      </c>
      <c r="X7" s="33" t="s">
        <v>28</v>
      </c>
      <c r="Y7" s="33" t="s">
        <v>28</v>
      </c>
      <c r="Z7" s="33" t="s">
        <v>28</v>
      </c>
      <c r="AA7" s="33" t="s">
        <v>28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ht="24.0" customHeight="1">
      <c r="A8" s="1"/>
      <c r="B8" s="31">
        <v>2.0</v>
      </c>
      <c r="C8" s="32" t="s">
        <v>25</v>
      </c>
      <c r="D8" s="33">
        <v>5.05</v>
      </c>
      <c r="E8" s="33">
        <v>38.25</v>
      </c>
      <c r="F8" s="33">
        <v>4.25</v>
      </c>
      <c r="G8" s="34">
        <f t="shared" ref="G8:G9" si="1">+(D8*E8)/(F8*(D8+E8))</f>
        <v>1.04965358</v>
      </c>
      <c r="H8" s="33">
        <v>1.0</v>
      </c>
      <c r="I8" s="33">
        <v>2.0</v>
      </c>
      <c r="J8" s="33">
        <f t="shared" ref="J8:J9" si="2">+H8+I8</f>
        <v>3</v>
      </c>
      <c r="K8" s="33">
        <f t="shared" ref="K8:K9" si="3">POWER(J8,2)</f>
        <v>9</v>
      </c>
      <c r="L8" s="23">
        <v>534.0</v>
      </c>
      <c r="M8" s="23">
        <v>588.0</v>
      </c>
      <c r="N8" s="23">
        <v>596.0</v>
      </c>
      <c r="O8" s="23">
        <v>563.0</v>
      </c>
      <c r="P8" s="23">
        <v>569.0</v>
      </c>
      <c r="Q8" s="23">
        <v>511.0</v>
      </c>
      <c r="R8" s="23">
        <v>529.0</v>
      </c>
      <c r="S8" s="23">
        <v>538.0</v>
      </c>
      <c r="T8" s="23">
        <v>533.0</v>
      </c>
      <c r="U8" s="33" t="s">
        <v>28</v>
      </c>
      <c r="V8" s="33" t="s">
        <v>28</v>
      </c>
      <c r="W8" s="33" t="s">
        <v>28</v>
      </c>
      <c r="X8" s="33" t="s">
        <v>28</v>
      </c>
      <c r="Y8" s="33" t="s">
        <v>28</v>
      </c>
      <c r="Z8" s="33" t="s">
        <v>28</v>
      </c>
      <c r="AA8" s="33" t="s">
        <v>28</v>
      </c>
      <c r="AB8" s="35">
        <f t="shared" ref="AB8:AB31" si="4">MAX(L8:AA8)</f>
        <v>596</v>
      </c>
      <c r="AC8" s="35">
        <f t="shared" ref="AC8:AC31" si="5">MIN(L8:AA8)</f>
        <v>511</v>
      </c>
      <c r="AD8" s="56">
        <f t="shared" ref="AD8:AD31" si="6">AVERAGE(L8:AA8)</f>
        <v>551.2222222</v>
      </c>
      <c r="AE8" s="36">
        <f t="shared" ref="AE8:AE14" si="7">MIN(L8:Z8)</f>
        <v>511</v>
      </c>
      <c r="AF8" s="36" t="str">
        <f t="shared" ref="AF8:AF31" si="8">IF(AE8&gt;AG8,"&gt;","&lt;")</f>
        <v>&gt;</v>
      </c>
      <c r="AG8" s="36">
        <f t="shared" ref="AG8:AG31" si="9">+AD8/2</f>
        <v>275.6111111</v>
      </c>
      <c r="AH8" s="38">
        <v>500.0</v>
      </c>
      <c r="AI8" s="39" t="str">
        <f t="shared" ref="AI8:AI31" si="10">IF(AE8&gt;AG8,"SI","NO")</f>
        <v>SI</v>
      </c>
      <c r="AJ8" s="39" t="str">
        <f t="shared" ref="AJ8:AJ31" si="11">IF(AD8&gt;AH8,"SI","NO")</f>
        <v>SI</v>
      </c>
      <c r="AK8" s="40" t="str">
        <f t="shared" ref="AK8:AK60" si="12">IF(AI8=AL$2,"1","0")</f>
        <v>0</v>
      </c>
      <c r="AL8" s="40" t="str">
        <f t="shared" ref="AL8:AL60" si="13">IF(AJ8=AL$2,"1","0")</f>
        <v>0</v>
      </c>
    </row>
    <row r="9" ht="24.0" customHeight="1">
      <c r="A9" s="1"/>
      <c r="B9" s="33">
        <v>3.0</v>
      </c>
      <c r="C9" s="41" t="s">
        <v>26</v>
      </c>
      <c r="D9" s="33">
        <v>7.22</v>
      </c>
      <c r="E9" s="33">
        <v>2.39</v>
      </c>
      <c r="F9" s="33">
        <v>4.25</v>
      </c>
      <c r="G9" s="34">
        <f t="shared" si="1"/>
        <v>0.4224961743</v>
      </c>
      <c r="H9" s="33">
        <v>1.0</v>
      </c>
      <c r="I9" s="33">
        <v>2.0</v>
      </c>
      <c r="J9" s="33">
        <f t="shared" si="2"/>
        <v>3</v>
      </c>
      <c r="K9" s="33">
        <f t="shared" si="3"/>
        <v>9</v>
      </c>
      <c r="L9" s="23">
        <v>541.0</v>
      </c>
      <c r="M9" s="23">
        <v>545.0</v>
      </c>
      <c r="N9" s="23">
        <v>539.0</v>
      </c>
      <c r="O9" s="23">
        <v>519.0</v>
      </c>
      <c r="P9" s="23">
        <v>548.0</v>
      </c>
      <c r="Q9" s="23">
        <v>583.0</v>
      </c>
      <c r="R9" s="23">
        <v>555.0</v>
      </c>
      <c r="S9" s="23">
        <v>571.0</v>
      </c>
      <c r="T9" s="23">
        <v>558.0</v>
      </c>
      <c r="U9" s="33" t="s">
        <v>28</v>
      </c>
      <c r="V9" s="33" t="s">
        <v>28</v>
      </c>
      <c r="W9" s="33" t="s">
        <v>28</v>
      </c>
      <c r="X9" s="33" t="s">
        <v>28</v>
      </c>
      <c r="Y9" s="33" t="s">
        <v>28</v>
      </c>
      <c r="Z9" s="33" t="s">
        <v>28</v>
      </c>
      <c r="AA9" s="33" t="s">
        <v>28</v>
      </c>
      <c r="AB9" s="35">
        <f t="shared" si="4"/>
        <v>583</v>
      </c>
      <c r="AC9" s="35">
        <f t="shared" si="5"/>
        <v>519</v>
      </c>
      <c r="AD9" s="56">
        <f t="shared" si="6"/>
        <v>551</v>
      </c>
      <c r="AE9" s="36">
        <f t="shared" si="7"/>
        <v>519</v>
      </c>
      <c r="AF9" s="36" t="str">
        <f t="shared" si="8"/>
        <v>&gt;</v>
      </c>
      <c r="AG9" s="36">
        <f t="shared" si="9"/>
        <v>275.5</v>
      </c>
      <c r="AH9" s="42">
        <v>500.0</v>
      </c>
      <c r="AI9" s="39" t="str">
        <f t="shared" si="10"/>
        <v>SI</v>
      </c>
      <c r="AJ9" s="39" t="str">
        <f t="shared" si="11"/>
        <v>SI</v>
      </c>
      <c r="AK9" s="40" t="str">
        <f t="shared" si="12"/>
        <v>0</v>
      </c>
      <c r="AL9" s="40" t="str">
        <f t="shared" si="13"/>
        <v>0</v>
      </c>
    </row>
    <row r="10" ht="24.0" customHeight="1">
      <c r="A10" s="1"/>
      <c r="B10" s="33">
        <v>4.0</v>
      </c>
      <c r="C10" s="41" t="s">
        <v>27</v>
      </c>
      <c r="D10" s="33" t="s">
        <v>28</v>
      </c>
      <c r="E10" s="33" t="s">
        <v>28</v>
      </c>
      <c r="F10" s="33" t="s">
        <v>28</v>
      </c>
      <c r="G10" s="33" t="s">
        <v>28</v>
      </c>
      <c r="H10" s="33" t="s">
        <v>28</v>
      </c>
      <c r="I10" s="33" t="s">
        <v>28</v>
      </c>
      <c r="J10" s="33" t="s">
        <v>28</v>
      </c>
      <c r="K10" s="33" t="s">
        <v>28</v>
      </c>
      <c r="L10" s="23">
        <v>151.0</v>
      </c>
      <c r="M10" s="23">
        <v>150.0</v>
      </c>
      <c r="N10" s="23">
        <v>133.0</v>
      </c>
      <c r="O10" s="33" t="s">
        <v>28</v>
      </c>
      <c r="P10" s="33" t="s">
        <v>28</v>
      </c>
      <c r="Q10" s="33" t="s">
        <v>28</v>
      </c>
      <c r="R10" s="33" t="s">
        <v>28</v>
      </c>
      <c r="S10" s="33" t="s">
        <v>28</v>
      </c>
      <c r="T10" s="33" t="s">
        <v>28</v>
      </c>
      <c r="U10" s="33" t="s">
        <v>28</v>
      </c>
      <c r="V10" s="33" t="s">
        <v>28</v>
      </c>
      <c r="W10" s="33" t="s">
        <v>28</v>
      </c>
      <c r="X10" s="33" t="s">
        <v>28</v>
      </c>
      <c r="Y10" s="33" t="s">
        <v>28</v>
      </c>
      <c r="Z10" s="33" t="s">
        <v>28</v>
      </c>
      <c r="AA10" s="33" t="s">
        <v>28</v>
      </c>
      <c r="AB10" s="35">
        <f t="shared" si="4"/>
        <v>151</v>
      </c>
      <c r="AC10" s="35">
        <f t="shared" si="5"/>
        <v>133</v>
      </c>
      <c r="AD10" s="56">
        <f t="shared" si="6"/>
        <v>144.6666667</v>
      </c>
      <c r="AE10" s="36">
        <f t="shared" si="7"/>
        <v>133</v>
      </c>
      <c r="AF10" s="36" t="str">
        <f t="shared" si="8"/>
        <v>&gt;</v>
      </c>
      <c r="AG10" s="36">
        <f t="shared" si="9"/>
        <v>72.33333333</v>
      </c>
      <c r="AH10" s="42">
        <v>100.0</v>
      </c>
      <c r="AI10" s="39" t="str">
        <f t="shared" si="10"/>
        <v>SI</v>
      </c>
      <c r="AJ10" s="39" t="str">
        <f t="shared" si="11"/>
        <v>SI</v>
      </c>
      <c r="AK10" s="40" t="str">
        <f t="shared" si="12"/>
        <v>0</v>
      </c>
      <c r="AL10" s="40" t="str">
        <f t="shared" si="13"/>
        <v>0</v>
      </c>
    </row>
    <row r="11" ht="24.0" customHeight="1">
      <c r="A11" s="1"/>
      <c r="B11" s="31">
        <v>5.0</v>
      </c>
      <c r="C11" s="41" t="s">
        <v>29</v>
      </c>
      <c r="D11" s="33">
        <v>3.78</v>
      </c>
      <c r="E11" s="33">
        <v>3.66</v>
      </c>
      <c r="F11" s="33">
        <v>2.88</v>
      </c>
      <c r="G11" s="34">
        <f t="shared" ref="G11:G12" si="14">+(D11*E11)/(F11*(D11+E11))</f>
        <v>0.6456653226</v>
      </c>
      <c r="H11" s="33">
        <v>1.0</v>
      </c>
      <c r="I11" s="33">
        <v>2.0</v>
      </c>
      <c r="J11" s="33">
        <f t="shared" ref="J11:J12" si="15">+H11+I11</f>
        <v>3</v>
      </c>
      <c r="K11" s="33">
        <f t="shared" ref="K11:K12" si="16">POWER(J11,2)</f>
        <v>9</v>
      </c>
      <c r="L11" s="23">
        <v>138.0</v>
      </c>
      <c r="M11" s="23">
        <v>100.0</v>
      </c>
      <c r="N11" s="23">
        <v>116.0</v>
      </c>
      <c r="O11" s="23">
        <v>180.0</v>
      </c>
      <c r="P11" s="23">
        <v>188.0</v>
      </c>
      <c r="Q11" s="23">
        <v>173.0</v>
      </c>
      <c r="R11" s="23">
        <v>192.0</v>
      </c>
      <c r="S11" s="23">
        <v>189.0</v>
      </c>
      <c r="T11" s="23">
        <v>174.0</v>
      </c>
      <c r="U11" s="33" t="s">
        <v>28</v>
      </c>
      <c r="V11" s="33" t="s">
        <v>28</v>
      </c>
      <c r="W11" s="33" t="s">
        <v>28</v>
      </c>
      <c r="X11" s="33" t="s">
        <v>28</v>
      </c>
      <c r="Y11" s="33" t="s">
        <v>28</v>
      </c>
      <c r="Z11" s="33" t="s">
        <v>28</v>
      </c>
      <c r="AA11" s="33" t="s">
        <v>28</v>
      </c>
      <c r="AB11" s="35">
        <f t="shared" si="4"/>
        <v>192</v>
      </c>
      <c r="AC11" s="35">
        <f t="shared" si="5"/>
        <v>100</v>
      </c>
      <c r="AD11" s="56">
        <f t="shared" si="6"/>
        <v>161.1111111</v>
      </c>
      <c r="AE11" s="36">
        <f t="shared" si="7"/>
        <v>100</v>
      </c>
      <c r="AF11" s="36" t="str">
        <f t="shared" si="8"/>
        <v>&gt;</v>
      </c>
      <c r="AG11" s="36">
        <f t="shared" si="9"/>
        <v>80.55555556</v>
      </c>
      <c r="AH11" s="42">
        <v>100.0</v>
      </c>
      <c r="AI11" s="39" t="str">
        <f t="shared" si="10"/>
        <v>SI</v>
      </c>
      <c r="AJ11" s="39" t="str">
        <f t="shared" si="11"/>
        <v>SI</v>
      </c>
      <c r="AK11" s="40" t="str">
        <f t="shared" si="12"/>
        <v>0</v>
      </c>
      <c r="AL11" s="40" t="str">
        <f t="shared" si="13"/>
        <v>0</v>
      </c>
    </row>
    <row r="12" ht="24.0" customHeight="1">
      <c r="A12" s="1"/>
      <c r="B12" s="33">
        <v>6.0</v>
      </c>
      <c r="C12" s="41" t="s">
        <v>30</v>
      </c>
      <c r="D12" s="33">
        <v>3.61</v>
      </c>
      <c r="E12" s="33">
        <v>6.15</v>
      </c>
      <c r="F12" s="33">
        <v>2.88</v>
      </c>
      <c r="G12" s="34">
        <f t="shared" si="14"/>
        <v>0.7898416154</v>
      </c>
      <c r="H12" s="33">
        <v>1.0</v>
      </c>
      <c r="I12" s="33">
        <v>2.0</v>
      </c>
      <c r="J12" s="33">
        <f t="shared" si="15"/>
        <v>3</v>
      </c>
      <c r="K12" s="33">
        <f t="shared" si="16"/>
        <v>9</v>
      </c>
      <c r="L12" s="23">
        <v>121.0</v>
      </c>
      <c r="M12" s="23">
        <v>188.0</v>
      </c>
      <c r="N12" s="23">
        <v>166.0</v>
      </c>
      <c r="O12" s="23">
        <v>139.0</v>
      </c>
      <c r="P12" s="23">
        <v>197.0</v>
      </c>
      <c r="Q12" s="23">
        <v>169.0</v>
      </c>
      <c r="R12" s="23">
        <v>142.0</v>
      </c>
      <c r="S12" s="23">
        <v>170.0</v>
      </c>
      <c r="T12" s="23">
        <v>135.0</v>
      </c>
      <c r="U12" s="33" t="s">
        <v>28</v>
      </c>
      <c r="V12" s="33" t="s">
        <v>28</v>
      </c>
      <c r="W12" s="33" t="s">
        <v>28</v>
      </c>
      <c r="X12" s="33" t="s">
        <v>28</v>
      </c>
      <c r="Y12" s="33" t="s">
        <v>28</v>
      </c>
      <c r="Z12" s="33" t="s">
        <v>28</v>
      </c>
      <c r="AA12" s="33" t="s">
        <v>28</v>
      </c>
      <c r="AB12" s="35">
        <f t="shared" si="4"/>
        <v>197</v>
      </c>
      <c r="AC12" s="35">
        <f t="shared" si="5"/>
        <v>121</v>
      </c>
      <c r="AD12" s="56">
        <f t="shared" si="6"/>
        <v>158.5555556</v>
      </c>
      <c r="AE12" s="36">
        <f t="shared" si="7"/>
        <v>121</v>
      </c>
      <c r="AF12" s="36" t="str">
        <f t="shared" si="8"/>
        <v>&gt;</v>
      </c>
      <c r="AG12" s="36">
        <f t="shared" si="9"/>
        <v>79.27777778</v>
      </c>
      <c r="AH12" s="42">
        <v>500.0</v>
      </c>
      <c r="AI12" s="39" t="str">
        <f t="shared" si="10"/>
        <v>SI</v>
      </c>
      <c r="AJ12" s="39" t="str">
        <f t="shared" si="11"/>
        <v>NO</v>
      </c>
      <c r="AK12" s="40" t="str">
        <f t="shared" si="12"/>
        <v>0</v>
      </c>
      <c r="AL12" s="40" t="str">
        <f t="shared" si="13"/>
        <v>1</v>
      </c>
    </row>
    <row r="13" ht="24.0" customHeight="1">
      <c r="A13" s="1"/>
      <c r="B13" s="33">
        <v>7.0</v>
      </c>
      <c r="C13" s="41" t="s">
        <v>31</v>
      </c>
      <c r="D13" s="33" t="s">
        <v>28</v>
      </c>
      <c r="E13" s="33" t="s">
        <v>28</v>
      </c>
      <c r="F13" s="33" t="s">
        <v>28</v>
      </c>
      <c r="G13" s="43" t="s">
        <v>28</v>
      </c>
      <c r="H13" s="33" t="s">
        <v>28</v>
      </c>
      <c r="I13" s="33" t="s">
        <v>28</v>
      </c>
      <c r="J13" s="33" t="s">
        <v>28</v>
      </c>
      <c r="K13" s="33" t="s">
        <v>28</v>
      </c>
      <c r="L13" s="23">
        <v>107.0</v>
      </c>
      <c r="M13" s="23">
        <v>150.0</v>
      </c>
      <c r="N13" s="33" t="s">
        <v>28</v>
      </c>
      <c r="O13" s="33" t="s">
        <v>28</v>
      </c>
      <c r="P13" s="33" t="s">
        <v>28</v>
      </c>
      <c r="Q13" s="33" t="s">
        <v>28</v>
      </c>
      <c r="R13" s="33" t="s">
        <v>28</v>
      </c>
      <c r="S13" s="33" t="s">
        <v>28</v>
      </c>
      <c r="T13" s="33" t="s">
        <v>28</v>
      </c>
      <c r="U13" s="33" t="s">
        <v>28</v>
      </c>
      <c r="V13" s="33" t="s">
        <v>28</v>
      </c>
      <c r="W13" s="33" t="s">
        <v>28</v>
      </c>
      <c r="X13" s="33" t="s">
        <v>28</v>
      </c>
      <c r="Y13" s="33" t="s">
        <v>28</v>
      </c>
      <c r="Z13" s="33" t="s">
        <v>28</v>
      </c>
      <c r="AA13" s="33" t="s">
        <v>28</v>
      </c>
      <c r="AB13" s="35">
        <f t="shared" si="4"/>
        <v>150</v>
      </c>
      <c r="AC13" s="35">
        <f t="shared" si="5"/>
        <v>107</v>
      </c>
      <c r="AD13" s="56">
        <f t="shared" si="6"/>
        <v>128.5</v>
      </c>
      <c r="AE13" s="36">
        <f t="shared" si="7"/>
        <v>107</v>
      </c>
      <c r="AF13" s="36" t="str">
        <f t="shared" si="8"/>
        <v>&gt;</v>
      </c>
      <c r="AG13" s="36">
        <f t="shared" si="9"/>
        <v>64.25</v>
      </c>
      <c r="AH13" s="42">
        <v>100.0</v>
      </c>
      <c r="AI13" s="39" t="str">
        <f t="shared" si="10"/>
        <v>SI</v>
      </c>
      <c r="AJ13" s="39" t="str">
        <f t="shared" si="11"/>
        <v>SI</v>
      </c>
      <c r="AK13" s="40" t="str">
        <f t="shared" si="12"/>
        <v>0</v>
      </c>
      <c r="AL13" s="40" t="str">
        <f t="shared" si="13"/>
        <v>0</v>
      </c>
    </row>
    <row r="14" ht="24.0" customHeight="1">
      <c r="A14" s="1"/>
      <c r="B14" s="31">
        <v>8.0</v>
      </c>
      <c r="C14" s="41" t="s">
        <v>32</v>
      </c>
      <c r="D14" s="33">
        <v>15.51</v>
      </c>
      <c r="E14" s="33">
        <v>5.08</v>
      </c>
      <c r="F14" s="33">
        <v>4.53</v>
      </c>
      <c r="G14" s="34">
        <f t="shared" ref="G14:G28" si="17">+(D14*E14)/(F14*(D14+E14))</f>
        <v>0.8447359195</v>
      </c>
      <c r="H14" s="33">
        <v>1.0</v>
      </c>
      <c r="I14" s="33">
        <v>2.0</v>
      </c>
      <c r="J14" s="33">
        <f t="shared" ref="J14:J28" si="18">+H14+I14</f>
        <v>3</v>
      </c>
      <c r="K14" s="33">
        <f t="shared" ref="K14:K28" si="19">POWER(J14,2)</f>
        <v>9</v>
      </c>
      <c r="L14" s="23">
        <v>171.0</v>
      </c>
      <c r="M14" s="23">
        <v>159.0</v>
      </c>
      <c r="N14" s="23">
        <v>168.0</v>
      </c>
      <c r="O14" s="23">
        <v>200.0</v>
      </c>
      <c r="P14" s="23">
        <v>221.0</v>
      </c>
      <c r="Q14" s="23">
        <v>208.0</v>
      </c>
      <c r="R14" s="23">
        <v>190.0</v>
      </c>
      <c r="S14" s="23">
        <v>157.0</v>
      </c>
      <c r="T14" s="23">
        <v>179.0</v>
      </c>
      <c r="U14" s="33" t="s">
        <v>28</v>
      </c>
      <c r="V14" s="33" t="s">
        <v>28</v>
      </c>
      <c r="W14" s="33" t="s">
        <v>28</v>
      </c>
      <c r="X14" s="33" t="s">
        <v>28</v>
      </c>
      <c r="Y14" s="33" t="s">
        <v>28</v>
      </c>
      <c r="Z14" s="33" t="s">
        <v>28</v>
      </c>
      <c r="AA14" s="33" t="s">
        <v>28</v>
      </c>
      <c r="AB14" s="35">
        <f t="shared" si="4"/>
        <v>221</v>
      </c>
      <c r="AC14" s="35">
        <f t="shared" si="5"/>
        <v>157</v>
      </c>
      <c r="AD14" s="56">
        <f t="shared" si="6"/>
        <v>183.6666667</v>
      </c>
      <c r="AE14" s="36">
        <f t="shared" si="7"/>
        <v>157</v>
      </c>
      <c r="AF14" s="36" t="str">
        <f t="shared" si="8"/>
        <v>&gt;</v>
      </c>
      <c r="AG14" s="36">
        <f t="shared" si="9"/>
        <v>91.83333333</v>
      </c>
      <c r="AH14" s="42">
        <v>200.0</v>
      </c>
      <c r="AI14" s="39" t="str">
        <f t="shared" si="10"/>
        <v>SI</v>
      </c>
      <c r="AJ14" s="39" t="str">
        <f t="shared" si="11"/>
        <v>NO</v>
      </c>
      <c r="AK14" s="40" t="str">
        <f t="shared" si="12"/>
        <v>0</v>
      </c>
      <c r="AL14" s="40" t="str">
        <f t="shared" si="13"/>
        <v>1</v>
      </c>
    </row>
    <row r="15" ht="24.0" customHeight="1">
      <c r="A15" s="1"/>
      <c r="B15" s="33">
        <v>9.0</v>
      </c>
      <c r="C15" s="41" t="s">
        <v>33</v>
      </c>
      <c r="D15" s="33">
        <v>10.08</v>
      </c>
      <c r="E15" s="33">
        <v>14.52</v>
      </c>
      <c r="F15" s="33">
        <v>2.94</v>
      </c>
      <c r="G15" s="34">
        <f t="shared" si="17"/>
        <v>2.02369338</v>
      </c>
      <c r="H15" s="33">
        <v>2.0</v>
      </c>
      <c r="I15" s="33">
        <v>2.0</v>
      </c>
      <c r="J15" s="33">
        <f t="shared" si="18"/>
        <v>4</v>
      </c>
      <c r="K15" s="33">
        <f t="shared" si="19"/>
        <v>16</v>
      </c>
      <c r="L15" s="23">
        <v>154.0</v>
      </c>
      <c r="M15" s="23">
        <v>166.0</v>
      </c>
      <c r="N15" s="23">
        <v>188.0</v>
      </c>
      <c r="O15" s="23">
        <v>159.0</v>
      </c>
      <c r="P15" s="23">
        <v>160.0</v>
      </c>
      <c r="Q15" s="23">
        <v>170.0</v>
      </c>
      <c r="R15" s="23">
        <v>210.0</v>
      </c>
      <c r="S15" s="23">
        <v>162.0</v>
      </c>
      <c r="T15" s="23">
        <v>203.0</v>
      </c>
      <c r="U15" s="23">
        <v>184.0</v>
      </c>
      <c r="V15" s="23">
        <v>160.0</v>
      </c>
      <c r="W15" s="23">
        <v>174.0</v>
      </c>
      <c r="X15" s="23">
        <v>205.0</v>
      </c>
      <c r="Y15" s="23">
        <v>224.0</v>
      </c>
      <c r="Z15" s="23">
        <v>187.0</v>
      </c>
      <c r="AA15" s="23">
        <v>191.0</v>
      </c>
      <c r="AB15" s="35">
        <f t="shared" si="4"/>
        <v>224</v>
      </c>
      <c r="AC15" s="35">
        <f t="shared" si="5"/>
        <v>154</v>
      </c>
      <c r="AD15" s="56">
        <f t="shared" si="6"/>
        <v>181.0625</v>
      </c>
      <c r="AE15" s="36">
        <f t="shared" ref="AE15:AE16" si="20">MIN(L15:AA15)</f>
        <v>154</v>
      </c>
      <c r="AF15" s="36" t="str">
        <f t="shared" si="8"/>
        <v>&gt;</v>
      </c>
      <c r="AG15" s="36">
        <f t="shared" si="9"/>
        <v>90.53125</v>
      </c>
      <c r="AH15" s="42">
        <v>300.0</v>
      </c>
      <c r="AI15" s="39" t="str">
        <f t="shared" si="10"/>
        <v>SI</v>
      </c>
      <c r="AJ15" s="39" t="str">
        <f t="shared" si="11"/>
        <v>NO</v>
      </c>
      <c r="AK15" s="40" t="str">
        <f t="shared" si="12"/>
        <v>0</v>
      </c>
      <c r="AL15" s="40" t="str">
        <f t="shared" si="13"/>
        <v>1</v>
      </c>
    </row>
    <row r="16" ht="24.0" customHeight="1">
      <c r="A16" s="1"/>
      <c r="B16" s="33">
        <v>10.0</v>
      </c>
      <c r="C16" s="41" t="s">
        <v>34</v>
      </c>
      <c r="D16" s="33">
        <v>3.83</v>
      </c>
      <c r="E16" s="33">
        <v>6.2</v>
      </c>
      <c r="F16" s="33">
        <v>2.94</v>
      </c>
      <c r="G16" s="34">
        <f t="shared" si="17"/>
        <v>0.805271261</v>
      </c>
      <c r="H16" s="33">
        <v>1.0</v>
      </c>
      <c r="I16" s="33">
        <v>2.0</v>
      </c>
      <c r="J16" s="33">
        <f t="shared" si="18"/>
        <v>3</v>
      </c>
      <c r="K16" s="33">
        <f t="shared" si="19"/>
        <v>9</v>
      </c>
      <c r="L16" s="23">
        <v>94.0</v>
      </c>
      <c r="M16" s="23">
        <v>108.0</v>
      </c>
      <c r="N16" s="23">
        <v>92.0</v>
      </c>
      <c r="O16" s="33" t="s">
        <v>28</v>
      </c>
      <c r="P16" s="33" t="s">
        <v>28</v>
      </c>
      <c r="Q16" s="33" t="s">
        <v>28</v>
      </c>
      <c r="R16" s="33" t="s">
        <v>28</v>
      </c>
      <c r="S16" s="33" t="s">
        <v>28</v>
      </c>
      <c r="T16" s="33" t="s">
        <v>28</v>
      </c>
      <c r="U16" s="33" t="s">
        <v>28</v>
      </c>
      <c r="V16" s="33" t="s">
        <v>28</v>
      </c>
      <c r="W16" s="33" t="s">
        <v>28</v>
      </c>
      <c r="X16" s="33" t="s">
        <v>28</v>
      </c>
      <c r="Y16" s="33" t="s">
        <v>28</v>
      </c>
      <c r="Z16" s="33" t="s">
        <v>28</v>
      </c>
      <c r="AA16" s="33" t="s">
        <v>28</v>
      </c>
      <c r="AB16" s="35">
        <f t="shared" si="4"/>
        <v>108</v>
      </c>
      <c r="AC16" s="35">
        <f t="shared" si="5"/>
        <v>92</v>
      </c>
      <c r="AD16" s="56">
        <f t="shared" si="6"/>
        <v>98</v>
      </c>
      <c r="AE16" s="36">
        <f t="shared" si="20"/>
        <v>92</v>
      </c>
      <c r="AF16" s="36" t="str">
        <f t="shared" si="8"/>
        <v>&gt;</v>
      </c>
      <c r="AG16" s="36">
        <f t="shared" si="9"/>
        <v>49</v>
      </c>
      <c r="AH16" s="42">
        <v>100.0</v>
      </c>
      <c r="AI16" s="39" t="str">
        <f t="shared" si="10"/>
        <v>SI</v>
      </c>
      <c r="AJ16" s="39" t="str">
        <f t="shared" si="11"/>
        <v>NO</v>
      </c>
      <c r="AK16" s="40" t="str">
        <f t="shared" si="12"/>
        <v>0</v>
      </c>
      <c r="AL16" s="40" t="str">
        <f t="shared" si="13"/>
        <v>1</v>
      </c>
    </row>
    <row r="17" ht="24.0" customHeight="1">
      <c r="A17" s="1"/>
      <c r="B17" s="31">
        <v>11.0</v>
      </c>
      <c r="C17" s="41" t="s">
        <v>35</v>
      </c>
      <c r="D17" s="33">
        <v>3.83</v>
      </c>
      <c r="E17" s="33">
        <v>4.03</v>
      </c>
      <c r="F17" s="33">
        <v>2.94</v>
      </c>
      <c r="G17" s="34">
        <f t="shared" si="17"/>
        <v>0.6679346039</v>
      </c>
      <c r="H17" s="33">
        <v>1.0</v>
      </c>
      <c r="I17" s="33">
        <v>2.0</v>
      </c>
      <c r="J17" s="33">
        <f t="shared" si="18"/>
        <v>3</v>
      </c>
      <c r="K17" s="33">
        <f t="shared" si="19"/>
        <v>9</v>
      </c>
      <c r="L17" s="23">
        <v>39.0</v>
      </c>
      <c r="M17" s="23">
        <v>40.0</v>
      </c>
      <c r="N17" s="23">
        <v>49.0</v>
      </c>
      <c r="O17" s="23">
        <v>53.0</v>
      </c>
      <c r="P17" s="23">
        <v>45.0</v>
      </c>
      <c r="Q17" s="23">
        <v>57.0</v>
      </c>
      <c r="R17" s="23">
        <v>67.0</v>
      </c>
      <c r="S17" s="23">
        <v>58.0</v>
      </c>
      <c r="T17" s="23">
        <v>59.0</v>
      </c>
      <c r="U17" s="33" t="s">
        <v>28</v>
      </c>
      <c r="V17" s="33" t="s">
        <v>28</v>
      </c>
      <c r="W17" s="33" t="s">
        <v>28</v>
      </c>
      <c r="X17" s="33" t="s">
        <v>28</v>
      </c>
      <c r="Y17" s="33" t="s">
        <v>28</v>
      </c>
      <c r="Z17" s="33" t="s">
        <v>28</v>
      </c>
      <c r="AA17" s="33" t="s">
        <v>28</v>
      </c>
      <c r="AB17" s="35">
        <f t="shared" si="4"/>
        <v>67</v>
      </c>
      <c r="AC17" s="35">
        <f t="shared" si="5"/>
        <v>39</v>
      </c>
      <c r="AD17" s="56">
        <f t="shared" si="6"/>
        <v>51.88888889</v>
      </c>
      <c r="AE17" s="36">
        <f t="shared" ref="AE17:AE31" si="21">MIN(L17:Z17)</f>
        <v>39</v>
      </c>
      <c r="AF17" s="36" t="str">
        <f t="shared" si="8"/>
        <v>&gt;</v>
      </c>
      <c r="AG17" s="36">
        <f t="shared" si="9"/>
        <v>25.94444444</v>
      </c>
      <c r="AH17" s="42">
        <v>50.0</v>
      </c>
      <c r="AI17" s="39" t="str">
        <f t="shared" si="10"/>
        <v>SI</v>
      </c>
      <c r="AJ17" s="39" t="str">
        <f t="shared" si="11"/>
        <v>SI</v>
      </c>
      <c r="AK17" s="40" t="str">
        <f t="shared" si="12"/>
        <v>0</v>
      </c>
      <c r="AL17" s="40" t="str">
        <f t="shared" si="13"/>
        <v>0</v>
      </c>
    </row>
    <row r="18" ht="24.0" customHeight="1">
      <c r="A18" s="1"/>
      <c r="B18" s="33">
        <v>12.0</v>
      </c>
      <c r="C18" s="41" t="s">
        <v>36</v>
      </c>
      <c r="D18" s="33">
        <v>2.97</v>
      </c>
      <c r="E18" s="33">
        <v>3.89</v>
      </c>
      <c r="F18" s="33">
        <v>2.94</v>
      </c>
      <c r="G18" s="34">
        <f t="shared" si="17"/>
        <v>0.5728416731</v>
      </c>
      <c r="H18" s="33">
        <v>1.0</v>
      </c>
      <c r="I18" s="33">
        <v>2.0</v>
      </c>
      <c r="J18" s="33">
        <f t="shared" si="18"/>
        <v>3</v>
      </c>
      <c r="K18" s="33">
        <f t="shared" si="19"/>
        <v>9</v>
      </c>
      <c r="L18" s="23">
        <v>90.0</v>
      </c>
      <c r="M18" s="23">
        <v>102.0</v>
      </c>
      <c r="N18" s="23">
        <v>91.0</v>
      </c>
      <c r="O18" s="23">
        <v>94.0</v>
      </c>
      <c r="P18" s="23">
        <v>124.0</v>
      </c>
      <c r="Q18" s="23">
        <v>107.0</v>
      </c>
      <c r="R18" s="23">
        <v>89.0</v>
      </c>
      <c r="S18" s="23">
        <v>102.0</v>
      </c>
      <c r="T18" s="23">
        <v>100.0</v>
      </c>
      <c r="U18" s="33" t="s">
        <v>28</v>
      </c>
      <c r="V18" s="33" t="s">
        <v>28</v>
      </c>
      <c r="W18" s="33" t="s">
        <v>28</v>
      </c>
      <c r="X18" s="33" t="s">
        <v>28</v>
      </c>
      <c r="Y18" s="33" t="s">
        <v>28</v>
      </c>
      <c r="Z18" s="33" t="s">
        <v>28</v>
      </c>
      <c r="AA18" s="33" t="s">
        <v>28</v>
      </c>
      <c r="AB18" s="35">
        <f t="shared" si="4"/>
        <v>124</v>
      </c>
      <c r="AC18" s="35">
        <f t="shared" si="5"/>
        <v>89</v>
      </c>
      <c r="AD18" s="56">
        <f t="shared" si="6"/>
        <v>99.88888889</v>
      </c>
      <c r="AE18" s="36">
        <f t="shared" si="21"/>
        <v>89</v>
      </c>
      <c r="AF18" s="36" t="str">
        <f t="shared" si="8"/>
        <v>&gt;</v>
      </c>
      <c r="AG18" s="36">
        <f t="shared" si="9"/>
        <v>49.94444444</v>
      </c>
      <c r="AH18" s="42">
        <v>50.0</v>
      </c>
      <c r="AI18" s="39" t="str">
        <f t="shared" si="10"/>
        <v>SI</v>
      </c>
      <c r="AJ18" s="39" t="str">
        <f t="shared" si="11"/>
        <v>SI</v>
      </c>
      <c r="AK18" s="40" t="str">
        <f t="shared" si="12"/>
        <v>0</v>
      </c>
      <c r="AL18" s="40" t="str">
        <f t="shared" si="13"/>
        <v>0</v>
      </c>
    </row>
    <row r="19" ht="24.0" customHeight="1">
      <c r="A19" s="1"/>
      <c r="B19" s="33">
        <v>13.0</v>
      </c>
      <c r="C19" s="41" t="s">
        <v>37</v>
      </c>
      <c r="D19" s="33">
        <v>2.56</v>
      </c>
      <c r="E19" s="33">
        <v>3.05</v>
      </c>
      <c r="F19" s="33">
        <v>2.94</v>
      </c>
      <c r="G19" s="34">
        <f t="shared" si="17"/>
        <v>0.4734014818</v>
      </c>
      <c r="H19" s="33">
        <v>1.0</v>
      </c>
      <c r="I19" s="33">
        <v>2.0</v>
      </c>
      <c r="J19" s="33">
        <f t="shared" si="18"/>
        <v>3</v>
      </c>
      <c r="K19" s="33">
        <f t="shared" si="19"/>
        <v>9</v>
      </c>
      <c r="L19" s="23">
        <v>287.0</v>
      </c>
      <c r="M19" s="23">
        <v>261.0</v>
      </c>
      <c r="N19" s="23">
        <v>280.0</v>
      </c>
      <c r="O19" s="23">
        <v>282.0</v>
      </c>
      <c r="P19" s="23">
        <v>287.0</v>
      </c>
      <c r="Q19" s="23">
        <v>267.0</v>
      </c>
      <c r="R19" s="23">
        <v>258.0</v>
      </c>
      <c r="S19" s="23">
        <v>248.0</v>
      </c>
      <c r="T19" s="23">
        <v>254.0</v>
      </c>
      <c r="U19" s="33" t="s">
        <v>28</v>
      </c>
      <c r="V19" s="33" t="s">
        <v>28</v>
      </c>
      <c r="W19" s="33" t="s">
        <v>28</v>
      </c>
      <c r="X19" s="33" t="s">
        <v>28</v>
      </c>
      <c r="Y19" s="33" t="s">
        <v>28</v>
      </c>
      <c r="Z19" s="33" t="s">
        <v>28</v>
      </c>
      <c r="AA19" s="33" t="s">
        <v>28</v>
      </c>
      <c r="AB19" s="35">
        <f t="shared" si="4"/>
        <v>287</v>
      </c>
      <c r="AC19" s="35">
        <f t="shared" si="5"/>
        <v>248</v>
      </c>
      <c r="AD19" s="56">
        <f t="shared" si="6"/>
        <v>269.3333333</v>
      </c>
      <c r="AE19" s="36">
        <f t="shared" si="21"/>
        <v>248</v>
      </c>
      <c r="AF19" s="36" t="str">
        <f t="shared" si="8"/>
        <v>&gt;</v>
      </c>
      <c r="AG19" s="36">
        <f t="shared" si="9"/>
        <v>134.6666667</v>
      </c>
      <c r="AH19" s="42">
        <v>300.0</v>
      </c>
      <c r="AI19" s="39" t="str">
        <f t="shared" si="10"/>
        <v>SI</v>
      </c>
      <c r="AJ19" s="39" t="str">
        <f t="shared" si="11"/>
        <v>NO</v>
      </c>
      <c r="AK19" s="40" t="str">
        <f t="shared" si="12"/>
        <v>0</v>
      </c>
      <c r="AL19" s="40" t="str">
        <f t="shared" si="13"/>
        <v>1</v>
      </c>
    </row>
    <row r="20" ht="24.0" customHeight="1">
      <c r="A20" s="1"/>
      <c r="B20" s="31">
        <v>14.0</v>
      </c>
      <c r="C20" s="41" t="s">
        <v>38</v>
      </c>
      <c r="D20" s="33">
        <v>4.23</v>
      </c>
      <c r="E20" s="33">
        <v>3.71</v>
      </c>
      <c r="F20" s="33">
        <v>2.94</v>
      </c>
      <c r="G20" s="34">
        <f t="shared" si="17"/>
        <v>0.6722741994</v>
      </c>
      <c r="H20" s="33">
        <v>1.0</v>
      </c>
      <c r="I20" s="33">
        <v>2.0</v>
      </c>
      <c r="J20" s="33">
        <f t="shared" si="18"/>
        <v>3</v>
      </c>
      <c r="K20" s="33">
        <f t="shared" si="19"/>
        <v>9</v>
      </c>
      <c r="L20" s="23">
        <v>171.0</v>
      </c>
      <c r="M20" s="23">
        <v>173.0</v>
      </c>
      <c r="N20" s="23">
        <v>187.0</v>
      </c>
      <c r="O20" s="23">
        <v>180.0</v>
      </c>
      <c r="P20" s="23">
        <v>192.0</v>
      </c>
      <c r="Q20" s="23">
        <v>165.0</v>
      </c>
      <c r="R20" s="23">
        <v>167.0</v>
      </c>
      <c r="S20" s="23">
        <v>198.0</v>
      </c>
      <c r="T20" s="23">
        <v>211.0</v>
      </c>
      <c r="U20" s="33" t="s">
        <v>28</v>
      </c>
      <c r="V20" s="33" t="s">
        <v>28</v>
      </c>
      <c r="W20" s="33" t="s">
        <v>28</v>
      </c>
      <c r="X20" s="33" t="s">
        <v>28</v>
      </c>
      <c r="Y20" s="33" t="s">
        <v>28</v>
      </c>
      <c r="Z20" s="33" t="s">
        <v>28</v>
      </c>
      <c r="AA20" s="33" t="s">
        <v>28</v>
      </c>
      <c r="AB20" s="35">
        <f t="shared" si="4"/>
        <v>211</v>
      </c>
      <c r="AC20" s="35">
        <f t="shared" si="5"/>
        <v>165</v>
      </c>
      <c r="AD20" s="56">
        <f t="shared" si="6"/>
        <v>182.6666667</v>
      </c>
      <c r="AE20" s="36">
        <f t="shared" si="21"/>
        <v>165</v>
      </c>
      <c r="AF20" s="36" t="str">
        <f t="shared" si="8"/>
        <v>&gt;</v>
      </c>
      <c r="AG20" s="36">
        <f t="shared" si="9"/>
        <v>91.33333333</v>
      </c>
      <c r="AH20" s="42">
        <v>300.0</v>
      </c>
      <c r="AI20" s="39" t="str">
        <f t="shared" si="10"/>
        <v>SI</v>
      </c>
      <c r="AJ20" s="39" t="str">
        <f t="shared" si="11"/>
        <v>NO</v>
      </c>
      <c r="AK20" s="40" t="str">
        <f t="shared" si="12"/>
        <v>0</v>
      </c>
      <c r="AL20" s="40" t="str">
        <f t="shared" si="13"/>
        <v>1</v>
      </c>
    </row>
    <row r="21" ht="24.0" customHeight="1">
      <c r="A21" s="1"/>
      <c r="B21" s="33">
        <v>15.0</v>
      </c>
      <c r="C21" s="41" t="s">
        <v>39</v>
      </c>
      <c r="D21" s="33">
        <v>5.75</v>
      </c>
      <c r="E21" s="33">
        <v>2.79</v>
      </c>
      <c r="F21" s="33">
        <v>2.94</v>
      </c>
      <c r="G21" s="34">
        <f t="shared" si="17"/>
        <v>0.6389499594</v>
      </c>
      <c r="H21" s="33">
        <v>1.0</v>
      </c>
      <c r="I21" s="33">
        <v>2.0</v>
      </c>
      <c r="J21" s="33">
        <f t="shared" si="18"/>
        <v>3</v>
      </c>
      <c r="K21" s="33">
        <f t="shared" si="19"/>
        <v>9</v>
      </c>
      <c r="L21" s="23">
        <v>224.0</v>
      </c>
      <c r="M21" s="23">
        <v>232.0</v>
      </c>
      <c r="N21" s="23">
        <v>231.0</v>
      </c>
      <c r="O21" s="23">
        <v>204.0</v>
      </c>
      <c r="P21" s="23">
        <v>190.0</v>
      </c>
      <c r="Q21" s="23">
        <v>194.0</v>
      </c>
      <c r="R21" s="23">
        <v>209.0</v>
      </c>
      <c r="S21" s="23">
        <v>230.0</v>
      </c>
      <c r="T21" s="23">
        <v>229.0</v>
      </c>
      <c r="U21" s="33" t="s">
        <v>28</v>
      </c>
      <c r="V21" s="33" t="s">
        <v>28</v>
      </c>
      <c r="W21" s="33" t="s">
        <v>28</v>
      </c>
      <c r="X21" s="33" t="s">
        <v>28</v>
      </c>
      <c r="Y21" s="33" t="s">
        <v>28</v>
      </c>
      <c r="Z21" s="33" t="s">
        <v>28</v>
      </c>
      <c r="AA21" s="33" t="s">
        <v>28</v>
      </c>
      <c r="AB21" s="35">
        <f t="shared" si="4"/>
        <v>232</v>
      </c>
      <c r="AC21" s="35">
        <f t="shared" si="5"/>
        <v>190</v>
      </c>
      <c r="AD21" s="56">
        <f t="shared" si="6"/>
        <v>215.8888889</v>
      </c>
      <c r="AE21" s="36">
        <f t="shared" si="21"/>
        <v>190</v>
      </c>
      <c r="AF21" s="36" t="str">
        <f t="shared" si="8"/>
        <v>&gt;</v>
      </c>
      <c r="AG21" s="36">
        <f t="shared" si="9"/>
        <v>107.9444444</v>
      </c>
      <c r="AH21" s="42">
        <v>300.0</v>
      </c>
      <c r="AI21" s="39" t="str">
        <f t="shared" si="10"/>
        <v>SI</v>
      </c>
      <c r="AJ21" s="39" t="str">
        <f t="shared" si="11"/>
        <v>NO</v>
      </c>
      <c r="AK21" s="40" t="str">
        <f t="shared" si="12"/>
        <v>0</v>
      </c>
      <c r="AL21" s="40" t="str">
        <f t="shared" si="13"/>
        <v>1</v>
      </c>
    </row>
    <row r="22" ht="24.0" customHeight="1">
      <c r="A22" s="1"/>
      <c r="B22" s="33">
        <v>16.0</v>
      </c>
      <c r="C22" s="41" t="s">
        <v>40</v>
      </c>
      <c r="D22" s="33">
        <v>3.97</v>
      </c>
      <c r="E22" s="33">
        <v>3.66</v>
      </c>
      <c r="F22" s="33">
        <v>2.94</v>
      </c>
      <c r="G22" s="34">
        <f t="shared" si="17"/>
        <v>0.6477385187</v>
      </c>
      <c r="H22" s="33">
        <v>1.0</v>
      </c>
      <c r="I22" s="33">
        <v>2.0</v>
      </c>
      <c r="J22" s="33">
        <f t="shared" si="18"/>
        <v>3</v>
      </c>
      <c r="K22" s="33">
        <f t="shared" si="19"/>
        <v>9</v>
      </c>
      <c r="L22" s="23">
        <v>95.0</v>
      </c>
      <c r="M22" s="23">
        <v>88.0</v>
      </c>
      <c r="N22" s="23">
        <v>71.0</v>
      </c>
      <c r="O22" s="23">
        <v>113.0</v>
      </c>
      <c r="P22" s="23">
        <v>130.0</v>
      </c>
      <c r="Q22" s="23">
        <v>139.0</v>
      </c>
      <c r="R22" s="23">
        <v>158.0</v>
      </c>
      <c r="S22" s="23">
        <v>129.0</v>
      </c>
      <c r="T22" s="23">
        <v>68.0</v>
      </c>
      <c r="U22" s="33" t="s">
        <v>28</v>
      </c>
      <c r="V22" s="33" t="s">
        <v>28</v>
      </c>
      <c r="W22" s="33" t="s">
        <v>28</v>
      </c>
      <c r="X22" s="33" t="s">
        <v>28</v>
      </c>
      <c r="Y22" s="33" t="s">
        <v>28</v>
      </c>
      <c r="Z22" s="33" t="s">
        <v>28</v>
      </c>
      <c r="AA22" s="33" t="s">
        <v>28</v>
      </c>
      <c r="AB22" s="35">
        <f t="shared" si="4"/>
        <v>158</v>
      </c>
      <c r="AC22" s="35">
        <f t="shared" si="5"/>
        <v>68</v>
      </c>
      <c r="AD22" s="56">
        <f t="shared" si="6"/>
        <v>110.1111111</v>
      </c>
      <c r="AE22" s="36">
        <f t="shared" si="21"/>
        <v>68</v>
      </c>
      <c r="AF22" s="36" t="str">
        <f t="shared" si="8"/>
        <v>&gt;</v>
      </c>
      <c r="AG22" s="36">
        <f t="shared" si="9"/>
        <v>55.05555556</v>
      </c>
      <c r="AH22" s="42">
        <v>50.0</v>
      </c>
      <c r="AI22" s="39" t="str">
        <f t="shared" si="10"/>
        <v>SI</v>
      </c>
      <c r="AJ22" s="39" t="str">
        <f t="shared" si="11"/>
        <v>SI</v>
      </c>
      <c r="AK22" s="40" t="str">
        <f t="shared" si="12"/>
        <v>0</v>
      </c>
      <c r="AL22" s="40" t="str">
        <f t="shared" si="13"/>
        <v>0</v>
      </c>
    </row>
    <row r="23" ht="24.0" customHeight="1">
      <c r="A23" s="1"/>
      <c r="B23" s="31">
        <v>17.0</v>
      </c>
      <c r="C23" s="41" t="s">
        <v>90</v>
      </c>
      <c r="D23" s="33">
        <v>7.11</v>
      </c>
      <c r="E23" s="33">
        <v>3.53</v>
      </c>
      <c r="F23" s="33">
        <v>2.94</v>
      </c>
      <c r="G23" s="34">
        <f t="shared" si="17"/>
        <v>0.8023342796</v>
      </c>
      <c r="H23" s="33">
        <v>1.0</v>
      </c>
      <c r="I23" s="33">
        <v>2.0</v>
      </c>
      <c r="J23" s="33">
        <f t="shared" si="18"/>
        <v>3</v>
      </c>
      <c r="K23" s="33">
        <f t="shared" si="19"/>
        <v>9</v>
      </c>
      <c r="L23" s="23">
        <v>240.0</v>
      </c>
      <c r="M23" s="23">
        <v>227.0</v>
      </c>
      <c r="N23" s="23">
        <v>190.0</v>
      </c>
      <c r="O23" s="23">
        <v>177.0</v>
      </c>
      <c r="P23" s="23">
        <v>195.0</v>
      </c>
      <c r="Q23" s="23">
        <v>287.0</v>
      </c>
      <c r="R23" s="23">
        <v>272.0</v>
      </c>
      <c r="S23" s="23">
        <v>331.0</v>
      </c>
      <c r="T23" s="23">
        <v>257.0</v>
      </c>
      <c r="U23" s="33" t="s">
        <v>28</v>
      </c>
      <c r="V23" s="33" t="s">
        <v>28</v>
      </c>
      <c r="W23" s="33" t="s">
        <v>28</v>
      </c>
      <c r="X23" s="33" t="s">
        <v>28</v>
      </c>
      <c r="Y23" s="33" t="s">
        <v>28</v>
      </c>
      <c r="Z23" s="33" t="s">
        <v>28</v>
      </c>
      <c r="AA23" s="33" t="s">
        <v>28</v>
      </c>
      <c r="AB23" s="35">
        <f t="shared" si="4"/>
        <v>331</v>
      </c>
      <c r="AC23" s="35">
        <f t="shared" si="5"/>
        <v>177</v>
      </c>
      <c r="AD23" s="56">
        <f t="shared" si="6"/>
        <v>241.7777778</v>
      </c>
      <c r="AE23" s="36">
        <f t="shared" si="21"/>
        <v>177</v>
      </c>
      <c r="AF23" s="36" t="str">
        <f t="shared" si="8"/>
        <v>&gt;</v>
      </c>
      <c r="AG23" s="36">
        <f t="shared" si="9"/>
        <v>120.8888889</v>
      </c>
      <c r="AH23" s="42">
        <v>50.0</v>
      </c>
      <c r="AI23" s="39" t="str">
        <f t="shared" si="10"/>
        <v>SI</v>
      </c>
      <c r="AJ23" s="39" t="str">
        <f t="shared" si="11"/>
        <v>SI</v>
      </c>
      <c r="AK23" s="40" t="str">
        <f t="shared" si="12"/>
        <v>0</v>
      </c>
      <c r="AL23" s="40" t="str">
        <f t="shared" si="13"/>
        <v>0</v>
      </c>
    </row>
    <row r="24" ht="24.0" customHeight="1">
      <c r="A24" s="1"/>
      <c r="B24" s="33">
        <v>18.0</v>
      </c>
      <c r="C24" s="41" t="s">
        <v>42</v>
      </c>
      <c r="D24" s="33">
        <v>4.12</v>
      </c>
      <c r="E24" s="33">
        <v>3.32</v>
      </c>
      <c r="F24" s="33">
        <v>2.94</v>
      </c>
      <c r="G24" s="34">
        <f t="shared" si="17"/>
        <v>0.6253383074</v>
      </c>
      <c r="H24" s="33">
        <v>1.0</v>
      </c>
      <c r="I24" s="33">
        <v>2.0</v>
      </c>
      <c r="J24" s="33">
        <f t="shared" si="18"/>
        <v>3</v>
      </c>
      <c r="K24" s="33">
        <f t="shared" si="19"/>
        <v>9</v>
      </c>
      <c r="L24" s="23">
        <v>24.0</v>
      </c>
      <c r="M24" s="23">
        <v>23.0</v>
      </c>
      <c r="N24" s="23">
        <v>17.0</v>
      </c>
      <c r="O24" s="23">
        <v>26.0</v>
      </c>
      <c r="P24" s="23">
        <v>20.0</v>
      </c>
      <c r="Q24" s="23">
        <v>53.0</v>
      </c>
      <c r="R24" s="23">
        <v>50.0</v>
      </c>
      <c r="S24" s="23">
        <v>22.0</v>
      </c>
      <c r="T24" s="23">
        <v>28.0</v>
      </c>
      <c r="U24" s="33" t="s">
        <v>28</v>
      </c>
      <c r="V24" s="33" t="s">
        <v>28</v>
      </c>
      <c r="W24" s="33" t="s">
        <v>28</v>
      </c>
      <c r="X24" s="33" t="s">
        <v>28</v>
      </c>
      <c r="Y24" s="33" t="s">
        <v>28</v>
      </c>
      <c r="Z24" s="33" t="s">
        <v>28</v>
      </c>
      <c r="AA24" s="33" t="s">
        <v>28</v>
      </c>
      <c r="AB24" s="35">
        <f t="shared" si="4"/>
        <v>53</v>
      </c>
      <c r="AC24" s="35">
        <f t="shared" si="5"/>
        <v>17</v>
      </c>
      <c r="AD24" s="56">
        <f t="shared" si="6"/>
        <v>29.22222222</v>
      </c>
      <c r="AE24" s="36">
        <f t="shared" si="21"/>
        <v>17</v>
      </c>
      <c r="AF24" s="36" t="str">
        <f t="shared" si="8"/>
        <v>&gt;</v>
      </c>
      <c r="AG24" s="36">
        <f t="shared" si="9"/>
        <v>14.61111111</v>
      </c>
      <c r="AH24" s="42">
        <v>50.0</v>
      </c>
      <c r="AI24" s="39" t="str">
        <f t="shared" si="10"/>
        <v>SI</v>
      </c>
      <c r="AJ24" s="39" t="str">
        <f t="shared" si="11"/>
        <v>NO</v>
      </c>
      <c r="AK24" s="40" t="str">
        <f t="shared" si="12"/>
        <v>0</v>
      </c>
      <c r="AL24" s="40" t="str">
        <f t="shared" si="13"/>
        <v>1</v>
      </c>
    </row>
    <row r="25" ht="24.0" customHeight="1">
      <c r="A25" s="1"/>
      <c r="B25" s="33">
        <v>19.0</v>
      </c>
      <c r="C25" s="41" t="s">
        <v>43</v>
      </c>
      <c r="D25" s="33">
        <v>3.1</v>
      </c>
      <c r="E25" s="33">
        <v>9.06</v>
      </c>
      <c r="F25" s="33">
        <v>2.94</v>
      </c>
      <c r="G25" s="34">
        <f t="shared" si="17"/>
        <v>0.7856135875</v>
      </c>
      <c r="H25" s="33">
        <v>1.0</v>
      </c>
      <c r="I25" s="33">
        <v>2.0</v>
      </c>
      <c r="J25" s="33">
        <f t="shared" si="18"/>
        <v>3</v>
      </c>
      <c r="K25" s="33">
        <f t="shared" si="19"/>
        <v>9</v>
      </c>
      <c r="L25" s="23">
        <v>17.0</v>
      </c>
      <c r="M25" s="23">
        <v>10.0</v>
      </c>
      <c r="N25" s="23">
        <v>23.0</v>
      </c>
      <c r="O25" s="23">
        <v>25.0</v>
      </c>
      <c r="P25" s="23">
        <v>9.0</v>
      </c>
      <c r="Q25" s="23">
        <v>11.0</v>
      </c>
      <c r="R25" s="23">
        <v>18.0</v>
      </c>
      <c r="S25" s="23">
        <v>16.0</v>
      </c>
      <c r="T25" s="23">
        <v>25.0</v>
      </c>
      <c r="U25" s="33" t="s">
        <v>28</v>
      </c>
      <c r="V25" s="33" t="s">
        <v>28</v>
      </c>
      <c r="W25" s="33" t="s">
        <v>28</v>
      </c>
      <c r="X25" s="33" t="s">
        <v>28</v>
      </c>
      <c r="Y25" s="33" t="s">
        <v>28</v>
      </c>
      <c r="Z25" s="33" t="s">
        <v>28</v>
      </c>
      <c r="AA25" s="33" t="s">
        <v>28</v>
      </c>
      <c r="AB25" s="35">
        <f t="shared" si="4"/>
        <v>25</v>
      </c>
      <c r="AC25" s="35">
        <f t="shared" si="5"/>
        <v>9</v>
      </c>
      <c r="AD25" s="56">
        <f t="shared" si="6"/>
        <v>17.11111111</v>
      </c>
      <c r="AE25" s="36">
        <f t="shared" si="21"/>
        <v>9</v>
      </c>
      <c r="AF25" s="36" t="str">
        <f t="shared" si="8"/>
        <v>&gt;</v>
      </c>
      <c r="AG25" s="36">
        <f t="shared" si="9"/>
        <v>8.555555556</v>
      </c>
      <c r="AH25" s="42">
        <v>50.0</v>
      </c>
      <c r="AI25" s="39" t="str">
        <f t="shared" si="10"/>
        <v>SI</v>
      </c>
      <c r="AJ25" s="39" t="str">
        <f t="shared" si="11"/>
        <v>NO</v>
      </c>
      <c r="AK25" s="40" t="str">
        <f t="shared" si="12"/>
        <v>0</v>
      </c>
      <c r="AL25" s="40" t="str">
        <f t="shared" si="13"/>
        <v>1</v>
      </c>
    </row>
    <row r="26" ht="24.0" customHeight="1">
      <c r="A26" s="1"/>
      <c r="B26" s="31">
        <v>20.0</v>
      </c>
      <c r="C26" s="41" t="s">
        <v>44</v>
      </c>
      <c r="D26" s="33">
        <v>3.03</v>
      </c>
      <c r="E26" s="33">
        <v>20.87</v>
      </c>
      <c r="F26" s="33">
        <v>2.94</v>
      </c>
      <c r="G26" s="34">
        <f t="shared" si="17"/>
        <v>0.8999530356</v>
      </c>
      <c r="H26" s="33">
        <v>1.0</v>
      </c>
      <c r="I26" s="33">
        <v>2.0</v>
      </c>
      <c r="J26" s="33">
        <f t="shared" si="18"/>
        <v>3</v>
      </c>
      <c r="K26" s="33">
        <f t="shared" si="19"/>
        <v>9</v>
      </c>
      <c r="L26" s="23">
        <v>293.0</v>
      </c>
      <c r="M26" s="23">
        <v>333.0</v>
      </c>
      <c r="N26" s="23">
        <v>244.0</v>
      </c>
      <c r="O26" s="23">
        <v>315.0</v>
      </c>
      <c r="P26" s="23">
        <v>242.0</v>
      </c>
      <c r="Q26" s="23">
        <v>344.0</v>
      </c>
      <c r="R26" s="23">
        <v>223.0</v>
      </c>
      <c r="S26" s="23">
        <v>229.0</v>
      </c>
      <c r="T26" s="23">
        <v>232.0</v>
      </c>
      <c r="U26" s="33" t="s">
        <v>28</v>
      </c>
      <c r="V26" s="33" t="s">
        <v>28</v>
      </c>
      <c r="W26" s="33" t="s">
        <v>28</v>
      </c>
      <c r="X26" s="33" t="s">
        <v>28</v>
      </c>
      <c r="Y26" s="33" t="s">
        <v>28</v>
      </c>
      <c r="Z26" s="33" t="s">
        <v>28</v>
      </c>
      <c r="AA26" s="33" t="s">
        <v>28</v>
      </c>
      <c r="AB26" s="35">
        <f t="shared" si="4"/>
        <v>344</v>
      </c>
      <c r="AC26" s="35">
        <f t="shared" si="5"/>
        <v>223</v>
      </c>
      <c r="AD26" s="56">
        <f t="shared" si="6"/>
        <v>272.7777778</v>
      </c>
      <c r="AE26" s="36">
        <f t="shared" si="21"/>
        <v>223</v>
      </c>
      <c r="AF26" s="36" t="str">
        <f t="shared" si="8"/>
        <v>&gt;</v>
      </c>
      <c r="AG26" s="36">
        <f t="shared" si="9"/>
        <v>136.3888889</v>
      </c>
      <c r="AH26" s="42">
        <v>50.0</v>
      </c>
      <c r="AI26" s="39" t="str">
        <f t="shared" si="10"/>
        <v>SI</v>
      </c>
      <c r="AJ26" s="39" t="str">
        <f t="shared" si="11"/>
        <v>SI</v>
      </c>
      <c r="AK26" s="40" t="str">
        <f t="shared" si="12"/>
        <v>0</v>
      </c>
      <c r="AL26" s="40" t="str">
        <f t="shared" si="13"/>
        <v>0</v>
      </c>
    </row>
    <row r="27" ht="24.0" customHeight="1">
      <c r="A27" s="1"/>
      <c r="B27" s="33">
        <v>21.0</v>
      </c>
      <c r="C27" s="41" t="s">
        <v>45</v>
      </c>
      <c r="D27" s="33">
        <v>4.22</v>
      </c>
      <c r="E27" s="33">
        <v>5.55</v>
      </c>
      <c r="F27" s="33">
        <v>2.94</v>
      </c>
      <c r="G27" s="34">
        <f t="shared" si="17"/>
        <v>0.8153865436</v>
      </c>
      <c r="H27" s="33">
        <v>1.0</v>
      </c>
      <c r="I27" s="33">
        <v>2.0</v>
      </c>
      <c r="J27" s="33">
        <f t="shared" si="18"/>
        <v>3</v>
      </c>
      <c r="K27" s="33">
        <f t="shared" si="19"/>
        <v>9</v>
      </c>
      <c r="L27" s="23">
        <v>185.0</v>
      </c>
      <c r="M27" s="23">
        <v>190.0</v>
      </c>
      <c r="N27" s="23">
        <v>165.0</v>
      </c>
      <c r="O27" s="23">
        <v>213.0</v>
      </c>
      <c r="P27" s="23">
        <v>204.0</v>
      </c>
      <c r="Q27" s="23">
        <v>162.0</v>
      </c>
      <c r="R27" s="23">
        <v>216.0</v>
      </c>
      <c r="S27" s="23">
        <v>209.0</v>
      </c>
      <c r="T27" s="23">
        <v>202.0</v>
      </c>
      <c r="U27" s="33" t="s">
        <v>28</v>
      </c>
      <c r="V27" s="33" t="s">
        <v>28</v>
      </c>
      <c r="W27" s="33" t="s">
        <v>28</v>
      </c>
      <c r="X27" s="33" t="s">
        <v>28</v>
      </c>
      <c r="Y27" s="33" t="s">
        <v>28</v>
      </c>
      <c r="Z27" s="33" t="s">
        <v>28</v>
      </c>
      <c r="AA27" s="33" t="s">
        <v>28</v>
      </c>
      <c r="AB27" s="35">
        <f t="shared" si="4"/>
        <v>216</v>
      </c>
      <c r="AC27" s="35">
        <f t="shared" si="5"/>
        <v>162</v>
      </c>
      <c r="AD27" s="56">
        <f t="shared" si="6"/>
        <v>194</v>
      </c>
      <c r="AE27" s="36">
        <f t="shared" si="21"/>
        <v>162</v>
      </c>
      <c r="AF27" s="36" t="str">
        <f t="shared" si="8"/>
        <v>&gt;</v>
      </c>
      <c r="AG27" s="36">
        <f t="shared" si="9"/>
        <v>97</v>
      </c>
      <c r="AH27" s="42">
        <v>50.0</v>
      </c>
      <c r="AI27" s="39" t="str">
        <f t="shared" si="10"/>
        <v>SI</v>
      </c>
      <c r="AJ27" s="39" t="str">
        <f t="shared" si="11"/>
        <v>SI</v>
      </c>
      <c r="AK27" s="40" t="str">
        <f t="shared" si="12"/>
        <v>0</v>
      </c>
      <c r="AL27" s="40" t="str">
        <f t="shared" si="13"/>
        <v>0</v>
      </c>
    </row>
    <row r="28" ht="24.0" customHeight="1">
      <c r="A28" s="1"/>
      <c r="B28" s="33">
        <v>22.0</v>
      </c>
      <c r="C28" s="41" t="s">
        <v>46</v>
      </c>
      <c r="D28" s="33">
        <v>4.98</v>
      </c>
      <c r="E28" s="33">
        <v>8.2</v>
      </c>
      <c r="F28" s="33">
        <v>2.94</v>
      </c>
      <c r="G28" s="34">
        <f t="shared" si="17"/>
        <v>1.053854015</v>
      </c>
      <c r="H28" s="33">
        <v>1.0</v>
      </c>
      <c r="I28" s="33">
        <v>2.0</v>
      </c>
      <c r="J28" s="33">
        <f t="shared" si="18"/>
        <v>3</v>
      </c>
      <c r="K28" s="33">
        <f t="shared" si="19"/>
        <v>9</v>
      </c>
      <c r="L28" s="23">
        <v>420.0</v>
      </c>
      <c r="M28" s="23">
        <v>392.0</v>
      </c>
      <c r="N28" s="23">
        <v>525.0</v>
      </c>
      <c r="O28" s="23">
        <v>540.0</v>
      </c>
      <c r="P28" s="23">
        <v>493.0</v>
      </c>
      <c r="Q28" s="23">
        <v>458.0</v>
      </c>
      <c r="R28" s="23">
        <v>519.0</v>
      </c>
      <c r="S28" s="23">
        <v>490.0</v>
      </c>
      <c r="T28" s="23">
        <v>461.0</v>
      </c>
      <c r="U28" s="33" t="s">
        <v>28</v>
      </c>
      <c r="V28" s="33" t="s">
        <v>28</v>
      </c>
      <c r="W28" s="33" t="s">
        <v>28</v>
      </c>
      <c r="X28" s="33" t="s">
        <v>28</v>
      </c>
      <c r="Y28" s="33" t="s">
        <v>28</v>
      </c>
      <c r="Z28" s="33" t="s">
        <v>28</v>
      </c>
      <c r="AA28" s="33" t="s">
        <v>28</v>
      </c>
      <c r="AB28" s="35">
        <f t="shared" si="4"/>
        <v>540</v>
      </c>
      <c r="AC28" s="35">
        <f t="shared" si="5"/>
        <v>392</v>
      </c>
      <c r="AD28" s="56">
        <f t="shared" si="6"/>
        <v>477.5555556</v>
      </c>
      <c r="AE28" s="36">
        <f t="shared" si="21"/>
        <v>392</v>
      </c>
      <c r="AF28" s="36" t="str">
        <f t="shared" si="8"/>
        <v>&gt;</v>
      </c>
      <c r="AG28" s="36">
        <f t="shared" si="9"/>
        <v>238.7777778</v>
      </c>
      <c r="AH28" s="42">
        <v>300.0</v>
      </c>
      <c r="AI28" s="39" t="str">
        <f t="shared" si="10"/>
        <v>SI</v>
      </c>
      <c r="AJ28" s="39" t="str">
        <f t="shared" si="11"/>
        <v>SI</v>
      </c>
      <c r="AK28" s="40" t="str">
        <f t="shared" si="12"/>
        <v>0</v>
      </c>
      <c r="AL28" s="40" t="str">
        <f t="shared" si="13"/>
        <v>0</v>
      </c>
    </row>
    <row r="29" ht="24.0" customHeight="1">
      <c r="A29" s="1"/>
      <c r="B29" s="31">
        <v>23.0</v>
      </c>
      <c r="C29" s="41" t="s">
        <v>47</v>
      </c>
      <c r="D29" s="33" t="s">
        <v>28</v>
      </c>
      <c r="E29" s="33" t="s">
        <v>28</v>
      </c>
      <c r="F29" s="33" t="s">
        <v>28</v>
      </c>
      <c r="G29" s="43" t="s">
        <v>28</v>
      </c>
      <c r="H29" s="33" t="s">
        <v>28</v>
      </c>
      <c r="I29" s="33" t="s">
        <v>28</v>
      </c>
      <c r="J29" s="33" t="s">
        <v>28</v>
      </c>
      <c r="K29" s="33" t="s">
        <v>28</v>
      </c>
      <c r="L29" s="23">
        <v>108.0</v>
      </c>
      <c r="M29" s="23">
        <v>117.0</v>
      </c>
      <c r="N29" s="33" t="s">
        <v>28</v>
      </c>
      <c r="O29" s="33" t="s">
        <v>28</v>
      </c>
      <c r="P29" s="33" t="s">
        <v>28</v>
      </c>
      <c r="Q29" s="33" t="s">
        <v>28</v>
      </c>
      <c r="R29" s="33" t="s">
        <v>28</v>
      </c>
      <c r="S29" s="33" t="s">
        <v>28</v>
      </c>
      <c r="T29" s="33" t="s">
        <v>28</v>
      </c>
      <c r="U29" s="33" t="s">
        <v>28</v>
      </c>
      <c r="V29" s="33" t="s">
        <v>28</v>
      </c>
      <c r="W29" s="33" t="s">
        <v>28</v>
      </c>
      <c r="X29" s="33" t="s">
        <v>28</v>
      </c>
      <c r="Y29" s="33" t="s">
        <v>28</v>
      </c>
      <c r="Z29" s="33" t="s">
        <v>28</v>
      </c>
      <c r="AA29" s="33" t="s">
        <v>28</v>
      </c>
      <c r="AB29" s="35">
        <f t="shared" si="4"/>
        <v>117</v>
      </c>
      <c r="AC29" s="35">
        <f t="shared" si="5"/>
        <v>108</v>
      </c>
      <c r="AD29" s="56">
        <f t="shared" si="6"/>
        <v>112.5</v>
      </c>
      <c r="AE29" s="36">
        <f t="shared" si="21"/>
        <v>108</v>
      </c>
      <c r="AF29" s="36" t="str">
        <f t="shared" si="8"/>
        <v>&gt;</v>
      </c>
      <c r="AG29" s="36">
        <f t="shared" si="9"/>
        <v>56.25</v>
      </c>
      <c r="AH29" s="42">
        <v>300.0</v>
      </c>
      <c r="AI29" s="39" t="str">
        <f t="shared" si="10"/>
        <v>SI</v>
      </c>
      <c r="AJ29" s="39" t="str">
        <f t="shared" si="11"/>
        <v>NO</v>
      </c>
      <c r="AK29" s="40" t="str">
        <f t="shared" si="12"/>
        <v>0</v>
      </c>
      <c r="AL29" s="40" t="str">
        <f t="shared" si="13"/>
        <v>1</v>
      </c>
    </row>
    <row r="30" ht="24.0" customHeight="1">
      <c r="A30" s="1"/>
      <c r="B30" s="33">
        <v>24.0</v>
      </c>
      <c r="C30" s="41" t="s">
        <v>48</v>
      </c>
      <c r="D30" s="33" t="s">
        <v>28</v>
      </c>
      <c r="E30" s="33" t="s">
        <v>28</v>
      </c>
      <c r="F30" s="33" t="s">
        <v>28</v>
      </c>
      <c r="G30" s="33" t="s">
        <v>28</v>
      </c>
      <c r="H30" s="33" t="s">
        <v>28</v>
      </c>
      <c r="I30" s="33" t="s">
        <v>28</v>
      </c>
      <c r="J30" s="33" t="s">
        <v>28</v>
      </c>
      <c r="K30" s="33" t="s">
        <v>28</v>
      </c>
      <c r="L30" s="23">
        <v>107.0</v>
      </c>
      <c r="M30" s="23">
        <v>132.0</v>
      </c>
      <c r="N30" s="33" t="s">
        <v>28</v>
      </c>
      <c r="O30" s="33" t="s">
        <v>28</v>
      </c>
      <c r="P30" s="33" t="s">
        <v>28</v>
      </c>
      <c r="Q30" s="33" t="s">
        <v>28</v>
      </c>
      <c r="R30" s="33" t="s">
        <v>28</v>
      </c>
      <c r="S30" s="33" t="s">
        <v>28</v>
      </c>
      <c r="T30" s="33" t="s">
        <v>28</v>
      </c>
      <c r="U30" s="33" t="s">
        <v>28</v>
      </c>
      <c r="V30" s="33" t="s">
        <v>28</v>
      </c>
      <c r="W30" s="33" t="s">
        <v>28</v>
      </c>
      <c r="X30" s="33" t="s">
        <v>28</v>
      </c>
      <c r="Y30" s="33" t="s">
        <v>28</v>
      </c>
      <c r="Z30" s="33" t="s">
        <v>28</v>
      </c>
      <c r="AA30" s="33" t="s">
        <v>28</v>
      </c>
      <c r="AB30" s="35">
        <f t="shared" si="4"/>
        <v>132</v>
      </c>
      <c r="AC30" s="35">
        <f t="shared" si="5"/>
        <v>107</v>
      </c>
      <c r="AD30" s="56">
        <f t="shared" si="6"/>
        <v>119.5</v>
      </c>
      <c r="AE30" s="36">
        <f t="shared" si="21"/>
        <v>107</v>
      </c>
      <c r="AF30" s="36" t="str">
        <f t="shared" si="8"/>
        <v>&gt;</v>
      </c>
      <c r="AG30" s="36">
        <f t="shared" si="9"/>
        <v>59.75</v>
      </c>
      <c r="AH30" s="42">
        <v>100.0</v>
      </c>
      <c r="AI30" s="39" t="str">
        <f t="shared" si="10"/>
        <v>SI</v>
      </c>
      <c r="AJ30" s="39" t="str">
        <f t="shared" si="11"/>
        <v>SI</v>
      </c>
      <c r="AK30" s="40" t="str">
        <f t="shared" si="12"/>
        <v>0</v>
      </c>
      <c r="AL30" s="40" t="str">
        <f t="shared" si="13"/>
        <v>0</v>
      </c>
    </row>
    <row r="31" ht="24.0" customHeight="1">
      <c r="A31" s="1"/>
      <c r="B31" s="33">
        <v>25.0</v>
      </c>
      <c r="C31" s="41" t="s">
        <v>49</v>
      </c>
      <c r="D31" s="33" t="s">
        <v>28</v>
      </c>
      <c r="E31" s="33" t="s">
        <v>28</v>
      </c>
      <c r="F31" s="33" t="s">
        <v>28</v>
      </c>
      <c r="G31" s="33" t="s">
        <v>28</v>
      </c>
      <c r="H31" s="33" t="s">
        <v>28</v>
      </c>
      <c r="I31" s="33" t="s">
        <v>28</v>
      </c>
      <c r="J31" s="33" t="s">
        <v>28</v>
      </c>
      <c r="K31" s="33" t="s">
        <v>28</v>
      </c>
      <c r="L31" s="23">
        <v>121.0</v>
      </c>
      <c r="M31" s="23">
        <v>125.0</v>
      </c>
      <c r="N31" s="33" t="s">
        <v>28</v>
      </c>
      <c r="O31" s="33" t="s">
        <v>28</v>
      </c>
      <c r="P31" s="33" t="s">
        <v>28</v>
      </c>
      <c r="Q31" s="33" t="s">
        <v>28</v>
      </c>
      <c r="R31" s="33" t="s">
        <v>28</v>
      </c>
      <c r="S31" s="33" t="s">
        <v>28</v>
      </c>
      <c r="T31" s="33" t="s">
        <v>28</v>
      </c>
      <c r="U31" s="33" t="s">
        <v>28</v>
      </c>
      <c r="V31" s="33" t="s">
        <v>28</v>
      </c>
      <c r="W31" s="33" t="s">
        <v>28</v>
      </c>
      <c r="X31" s="33" t="s">
        <v>28</v>
      </c>
      <c r="Y31" s="33" t="s">
        <v>28</v>
      </c>
      <c r="Z31" s="33" t="s">
        <v>28</v>
      </c>
      <c r="AA31" s="33" t="s">
        <v>28</v>
      </c>
      <c r="AB31" s="35">
        <f t="shared" si="4"/>
        <v>125</v>
      </c>
      <c r="AC31" s="35">
        <f t="shared" si="5"/>
        <v>121</v>
      </c>
      <c r="AD31" s="56">
        <f t="shared" si="6"/>
        <v>123</v>
      </c>
      <c r="AE31" s="36">
        <f t="shared" si="21"/>
        <v>121</v>
      </c>
      <c r="AF31" s="36" t="str">
        <f t="shared" si="8"/>
        <v>&gt;</v>
      </c>
      <c r="AG31" s="36">
        <f t="shared" si="9"/>
        <v>61.5</v>
      </c>
      <c r="AH31" s="42">
        <v>100.0</v>
      </c>
      <c r="AI31" s="39" t="str">
        <f t="shared" si="10"/>
        <v>SI</v>
      </c>
      <c r="AJ31" s="39" t="str">
        <f t="shared" si="11"/>
        <v>SI</v>
      </c>
      <c r="AK31" s="40" t="str">
        <f t="shared" si="12"/>
        <v>0</v>
      </c>
      <c r="AL31" s="40" t="str">
        <f t="shared" si="13"/>
        <v>0</v>
      </c>
    </row>
    <row r="32" ht="24.0" customHeight="1">
      <c r="A32" s="1"/>
      <c r="B32" s="58" t="s">
        <v>87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10"/>
      <c r="AK32" s="40" t="str">
        <f t="shared" si="12"/>
        <v>0</v>
      </c>
      <c r="AL32" s="40" t="str">
        <f t="shared" si="13"/>
        <v>0</v>
      </c>
    </row>
    <row r="33" ht="24.0" customHeight="1">
      <c r="A33" s="1"/>
      <c r="B33" s="6" t="s">
        <v>3</v>
      </c>
      <c r="C33" s="6" t="s">
        <v>4</v>
      </c>
      <c r="D33" s="7" t="s">
        <v>5</v>
      </c>
      <c r="E33" s="8"/>
      <c r="F33" s="9"/>
      <c r="G33" s="6" t="s">
        <v>6</v>
      </c>
      <c r="H33" s="6" t="s">
        <v>7</v>
      </c>
      <c r="I33" s="6" t="s">
        <v>8</v>
      </c>
      <c r="J33" s="6" t="s">
        <v>9</v>
      </c>
      <c r="K33" s="6" t="s">
        <v>10</v>
      </c>
      <c r="L33" s="7" t="s">
        <v>11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  <c r="AB33" s="11" t="s">
        <v>12</v>
      </c>
      <c r="AC33" s="11" t="s">
        <v>13</v>
      </c>
      <c r="AD33" s="6" t="s">
        <v>15</v>
      </c>
      <c r="AE33" s="12" t="s">
        <v>14</v>
      </c>
      <c r="AF33" s="13"/>
      <c r="AG33" s="14"/>
      <c r="AH33" s="6" t="s">
        <v>16</v>
      </c>
      <c r="AI33" s="6" t="s">
        <v>17</v>
      </c>
      <c r="AJ33" s="6" t="s">
        <v>18</v>
      </c>
      <c r="AK33" s="40" t="str">
        <f t="shared" si="12"/>
        <v>0</v>
      </c>
      <c r="AL33" s="40" t="str">
        <f t="shared" si="13"/>
        <v>0</v>
      </c>
    </row>
    <row r="34" ht="24.0" customHeight="1">
      <c r="A34" s="1"/>
      <c r="B34" s="15"/>
      <c r="C34" s="15"/>
      <c r="D34" s="16" t="s">
        <v>21</v>
      </c>
      <c r="E34" s="16" t="s">
        <v>22</v>
      </c>
      <c r="F34" s="16" t="s">
        <v>23</v>
      </c>
      <c r="G34" s="15"/>
      <c r="H34" s="15"/>
      <c r="I34" s="15"/>
      <c r="J34" s="15"/>
      <c r="K34" s="15"/>
      <c r="L34" s="17">
        <v>1.0</v>
      </c>
      <c r="M34" s="17">
        <v>2.0</v>
      </c>
      <c r="N34" s="17">
        <v>3.0</v>
      </c>
      <c r="O34" s="17">
        <v>4.0</v>
      </c>
      <c r="P34" s="17">
        <v>5.0</v>
      </c>
      <c r="Q34" s="17">
        <v>6.0</v>
      </c>
      <c r="R34" s="17">
        <v>7.0</v>
      </c>
      <c r="S34" s="17">
        <v>8.0</v>
      </c>
      <c r="T34" s="17">
        <v>9.0</v>
      </c>
      <c r="U34" s="17">
        <v>10.0</v>
      </c>
      <c r="V34" s="17">
        <v>11.0</v>
      </c>
      <c r="W34" s="17">
        <v>12.0</v>
      </c>
      <c r="X34" s="17">
        <v>13.0</v>
      </c>
      <c r="Y34" s="17">
        <v>14.0</v>
      </c>
      <c r="Z34" s="17">
        <v>15.0</v>
      </c>
      <c r="AA34" s="17">
        <v>16.0</v>
      </c>
      <c r="AB34" s="15"/>
      <c r="AC34" s="15"/>
      <c r="AD34" s="15"/>
      <c r="AE34" s="18"/>
      <c r="AF34" s="19"/>
      <c r="AG34" s="20"/>
      <c r="AH34" s="15"/>
      <c r="AI34" s="15"/>
      <c r="AJ34" s="15"/>
      <c r="AK34" s="40" t="str">
        <f t="shared" si="12"/>
        <v>0</v>
      </c>
      <c r="AL34" s="40" t="str">
        <f t="shared" si="13"/>
        <v>0</v>
      </c>
    </row>
    <row r="35" ht="24.0" customHeight="1">
      <c r="A35" s="1"/>
      <c r="B35" s="31">
        <v>26.0</v>
      </c>
      <c r="C35" s="44" t="s">
        <v>50</v>
      </c>
      <c r="D35" s="33" t="s">
        <v>28</v>
      </c>
      <c r="E35" s="33" t="s">
        <v>28</v>
      </c>
      <c r="F35" s="33" t="s">
        <v>28</v>
      </c>
      <c r="G35" s="33" t="s">
        <v>28</v>
      </c>
      <c r="H35" s="33" t="s">
        <v>28</v>
      </c>
      <c r="I35" s="33" t="s">
        <v>28</v>
      </c>
      <c r="J35" s="33" t="s">
        <v>28</v>
      </c>
      <c r="K35" s="33" t="s">
        <v>28</v>
      </c>
      <c r="L35" s="23">
        <v>107.0</v>
      </c>
      <c r="M35" s="23">
        <v>97.0</v>
      </c>
      <c r="N35" s="33" t="s">
        <v>28</v>
      </c>
      <c r="O35" s="33" t="s">
        <v>28</v>
      </c>
      <c r="P35" s="33" t="s">
        <v>28</v>
      </c>
      <c r="Q35" s="33" t="s">
        <v>28</v>
      </c>
      <c r="R35" s="33" t="s">
        <v>28</v>
      </c>
      <c r="S35" s="33" t="s">
        <v>28</v>
      </c>
      <c r="T35" s="33" t="s">
        <v>28</v>
      </c>
      <c r="U35" s="33" t="s">
        <v>28</v>
      </c>
      <c r="V35" s="33" t="s">
        <v>28</v>
      </c>
      <c r="W35" s="33" t="s">
        <v>28</v>
      </c>
      <c r="X35" s="33" t="s">
        <v>28</v>
      </c>
      <c r="Y35" s="33" t="s">
        <v>28</v>
      </c>
      <c r="Z35" s="33" t="s">
        <v>28</v>
      </c>
      <c r="AA35" s="33" t="s">
        <v>28</v>
      </c>
      <c r="AB35" s="35">
        <f t="shared" ref="AB35:AB60" si="22">MAX(L35:AA35)</f>
        <v>107</v>
      </c>
      <c r="AC35" s="35">
        <f t="shared" ref="AC35:AC60" si="23">MIN(L35:AA35)</f>
        <v>97</v>
      </c>
      <c r="AD35" s="57">
        <f>AVERAGE(L35:AA35)</f>
        <v>102</v>
      </c>
      <c r="AE35" s="36">
        <f t="shared" ref="AE35:AE60" si="24">MIN(L35:Z35)</f>
        <v>97</v>
      </c>
      <c r="AF35" s="36" t="str">
        <f t="shared" ref="AF35:AF60" si="25">IF(AE35&gt;AG35,"&gt;","&lt;")</f>
        <v>&gt;</v>
      </c>
      <c r="AG35" s="36">
        <f t="shared" ref="AG35:AG60" si="26">+AD35/2</f>
        <v>51</v>
      </c>
      <c r="AH35" s="42">
        <v>100.0</v>
      </c>
      <c r="AI35" s="39" t="str">
        <f t="shared" ref="AI35:AI60" si="27">IF(AE35&gt;AG35,"SI","NO")</f>
        <v>SI</v>
      </c>
      <c r="AJ35" s="39" t="str">
        <f t="shared" ref="AJ35:AJ60" si="28">IF(AD35&gt;AH35,"SI","NO")</f>
        <v>SI</v>
      </c>
      <c r="AK35" s="40" t="str">
        <f t="shared" si="12"/>
        <v>0</v>
      </c>
      <c r="AL35" s="40" t="str">
        <f t="shared" si="13"/>
        <v>0</v>
      </c>
    </row>
    <row r="36" ht="24.0" customHeight="1">
      <c r="A36" s="1"/>
      <c r="B36" s="33">
        <v>27.0</v>
      </c>
      <c r="C36" s="44" t="s">
        <v>51</v>
      </c>
      <c r="D36" s="33" t="s">
        <v>28</v>
      </c>
      <c r="E36" s="33" t="s">
        <v>28</v>
      </c>
      <c r="F36" s="33" t="s">
        <v>28</v>
      </c>
      <c r="G36" s="33" t="s">
        <v>28</v>
      </c>
      <c r="H36" s="33" t="s">
        <v>28</v>
      </c>
      <c r="I36" s="33" t="s">
        <v>28</v>
      </c>
      <c r="J36" s="33" t="s">
        <v>28</v>
      </c>
      <c r="K36" s="33" t="s">
        <v>28</v>
      </c>
      <c r="L36" s="23">
        <v>215.0</v>
      </c>
      <c r="M36" s="23">
        <v>232.0</v>
      </c>
      <c r="N36" s="33" t="s">
        <v>28</v>
      </c>
      <c r="O36" s="33" t="s">
        <v>28</v>
      </c>
      <c r="P36" s="33" t="s">
        <v>28</v>
      </c>
      <c r="Q36" s="33" t="s">
        <v>28</v>
      </c>
      <c r="R36" s="33" t="s">
        <v>28</v>
      </c>
      <c r="S36" s="33" t="s">
        <v>28</v>
      </c>
      <c r="T36" s="33" t="s">
        <v>28</v>
      </c>
      <c r="U36" s="33" t="s">
        <v>28</v>
      </c>
      <c r="V36" s="33" t="s">
        <v>28</v>
      </c>
      <c r="W36" s="33" t="s">
        <v>28</v>
      </c>
      <c r="X36" s="33" t="s">
        <v>28</v>
      </c>
      <c r="Y36" s="33" t="s">
        <v>28</v>
      </c>
      <c r="Z36" s="33" t="s">
        <v>28</v>
      </c>
      <c r="AA36" s="33" t="s">
        <v>28</v>
      </c>
      <c r="AB36" s="35">
        <f t="shared" si="22"/>
        <v>232</v>
      </c>
      <c r="AC36" s="35">
        <f t="shared" si="23"/>
        <v>215</v>
      </c>
      <c r="AD36" s="28"/>
      <c r="AE36" s="36">
        <f t="shared" si="24"/>
        <v>215</v>
      </c>
      <c r="AF36" s="36" t="str">
        <f t="shared" si="25"/>
        <v>&gt;</v>
      </c>
      <c r="AG36" s="36">
        <f t="shared" si="26"/>
        <v>0</v>
      </c>
      <c r="AH36" s="42">
        <v>100.0</v>
      </c>
      <c r="AI36" s="39" t="str">
        <f t="shared" si="27"/>
        <v>SI</v>
      </c>
      <c r="AJ36" s="39" t="str">
        <f t="shared" si="28"/>
        <v>NO</v>
      </c>
      <c r="AK36" s="40" t="str">
        <f t="shared" si="12"/>
        <v>0</v>
      </c>
      <c r="AL36" s="40" t="str">
        <f t="shared" si="13"/>
        <v>1</v>
      </c>
    </row>
    <row r="37" ht="24.0" customHeight="1">
      <c r="A37" s="1"/>
      <c r="B37" s="33">
        <v>28.0</v>
      </c>
      <c r="C37" s="41" t="s">
        <v>52</v>
      </c>
      <c r="D37" s="33" t="s">
        <v>28</v>
      </c>
      <c r="E37" s="33" t="s">
        <v>28</v>
      </c>
      <c r="F37" s="33" t="s">
        <v>28</v>
      </c>
      <c r="G37" s="33" t="s">
        <v>28</v>
      </c>
      <c r="H37" s="33" t="s">
        <v>28</v>
      </c>
      <c r="I37" s="33" t="s">
        <v>28</v>
      </c>
      <c r="J37" s="33" t="s">
        <v>28</v>
      </c>
      <c r="K37" s="33" t="s">
        <v>28</v>
      </c>
      <c r="L37" s="23">
        <v>198.0</v>
      </c>
      <c r="M37" s="23">
        <v>247.0</v>
      </c>
      <c r="N37" s="33" t="s">
        <v>28</v>
      </c>
      <c r="O37" s="33" t="s">
        <v>28</v>
      </c>
      <c r="P37" s="33" t="s">
        <v>28</v>
      </c>
      <c r="Q37" s="33" t="s">
        <v>28</v>
      </c>
      <c r="R37" s="33" t="s">
        <v>28</v>
      </c>
      <c r="S37" s="33" t="s">
        <v>28</v>
      </c>
      <c r="T37" s="33" t="s">
        <v>28</v>
      </c>
      <c r="U37" s="33" t="s">
        <v>28</v>
      </c>
      <c r="V37" s="33" t="s">
        <v>28</v>
      </c>
      <c r="W37" s="33" t="s">
        <v>28</v>
      </c>
      <c r="X37" s="33" t="s">
        <v>28</v>
      </c>
      <c r="Y37" s="33" t="s">
        <v>28</v>
      </c>
      <c r="Z37" s="33" t="s">
        <v>28</v>
      </c>
      <c r="AA37" s="33" t="s">
        <v>28</v>
      </c>
      <c r="AB37" s="35">
        <f t="shared" si="22"/>
        <v>247</v>
      </c>
      <c r="AC37" s="35">
        <f t="shared" si="23"/>
        <v>198</v>
      </c>
      <c r="AD37" s="15"/>
      <c r="AE37" s="36">
        <f t="shared" si="24"/>
        <v>198</v>
      </c>
      <c r="AF37" s="36" t="str">
        <f t="shared" si="25"/>
        <v>&gt;</v>
      </c>
      <c r="AG37" s="36">
        <f t="shared" si="26"/>
        <v>0</v>
      </c>
      <c r="AH37" s="42">
        <v>100.0</v>
      </c>
      <c r="AI37" s="39" t="str">
        <f t="shared" si="27"/>
        <v>SI</v>
      </c>
      <c r="AJ37" s="39" t="str">
        <f t="shared" si="28"/>
        <v>NO</v>
      </c>
      <c r="AK37" s="40" t="str">
        <f t="shared" si="12"/>
        <v>0</v>
      </c>
      <c r="AL37" s="40" t="str">
        <f t="shared" si="13"/>
        <v>1</v>
      </c>
    </row>
    <row r="38" ht="24.0" customHeight="1">
      <c r="A38" s="1"/>
      <c r="B38" s="31">
        <v>29.0</v>
      </c>
      <c r="C38" s="41" t="s">
        <v>53</v>
      </c>
      <c r="D38" s="33">
        <v>2.6</v>
      </c>
      <c r="E38" s="33">
        <v>2.33</v>
      </c>
      <c r="F38" s="33">
        <v>2.7</v>
      </c>
      <c r="G38" s="34">
        <f t="shared" ref="G38:G45" si="29">+(D38*E38)/(F38*(D38+E38))</f>
        <v>0.4551123131</v>
      </c>
      <c r="H38" s="33">
        <v>1.0</v>
      </c>
      <c r="I38" s="33">
        <v>2.0</v>
      </c>
      <c r="J38" s="33">
        <f t="shared" ref="J38:J45" si="30">+H38+I38</f>
        <v>3</v>
      </c>
      <c r="K38" s="33">
        <f t="shared" ref="K38:K45" si="31">POWER(J38,2)</f>
        <v>9</v>
      </c>
      <c r="L38" s="23">
        <v>142.0</v>
      </c>
      <c r="M38" s="23">
        <v>131.0</v>
      </c>
      <c r="N38" s="23">
        <v>144.0</v>
      </c>
      <c r="O38" s="23">
        <v>166.0</v>
      </c>
      <c r="P38" s="23">
        <v>184.0</v>
      </c>
      <c r="Q38" s="23">
        <v>156.0</v>
      </c>
      <c r="R38" s="23">
        <v>139.0</v>
      </c>
      <c r="S38" s="23">
        <v>142.0</v>
      </c>
      <c r="T38" s="23">
        <v>145.0</v>
      </c>
      <c r="U38" s="33" t="s">
        <v>28</v>
      </c>
      <c r="V38" s="33" t="s">
        <v>28</v>
      </c>
      <c r="W38" s="33" t="s">
        <v>28</v>
      </c>
      <c r="X38" s="33" t="s">
        <v>28</v>
      </c>
      <c r="Y38" s="33" t="s">
        <v>28</v>
      </c>
      <c r="Z38" s="33" t="s">
        <v>28</v>
      </c>
      <c r="AA38" s="33" t="s">
        <v>28</v>
      </c>
      <c r="AB38" s="35">
        <f t="shared" si="22"/>
        <v>184</v>
      </c>
      <c r="AC38" s="35">
        <f t="shared" si="23"/>
        <v>131</v>
      </c>
      <c r="AD38" s="56">
        <f t="shared" ref="AD38:AD60" si="32">AVERAGE(L38:AA38)</f>
        <v>149.8888889</v>
      </c>
      <c r="AE38" s="36">
        <f t="shared" si="24"/>
        <v>131</v>
      </c>
      <c r="AF38" s="36" t="str">
        <f t="shared" si="25"/>
        <v>&gt;</v>
      </c>
      <c r="AG38" s="36">
        <f t="shared" si="26"/>
        <v>74.94444444</v>
      </c>
      <c r="AH38" s="42">
        <v>300.0</v>
      </c>
      <c r="AI38" s="39" t="str">
        <f t="shared" si="27"/>
        <v>SI</v>
      </c>
      <c r="AJ38" s="39" t="str">
        <f t="shared" si="28"/>
        <v>NO</v>
      </c>
      <c r="AK38" s="40" t="str">
        <f t="shared" si="12"/>
        <v>0</v>
      </c>
      <c r="AL38" s="40" t="str">
        <f t="shared" si="13"/>
        <v>1</v>
      </c>
    </row>
    <row r="39" ht="24.0" customHeight="1">
      <c r="A39" s="1"/>
      <c r="B39" s="33">
        <v>30.0</v>
      </c>
      <c r="C39" s="41" t="s">
        <v>54</v>
      </c>
      <c r="D39" s="33">
        <v>2.61</v>
      </c>
      <c r="E39" s="33">
        <v>4.71</v>
      </c>
      <c r="F39" s="33">
        <v>2.7</v>
      </c>
      <c r="G39" s="34">
        <f t="shared" si="29"/>
        <v>0.6219945355</v>
      </c>
      <c r="H39" s="33">
        <v>1.0</v>
      </c>
      <c r="I39" s="33">
        <v>2.0</v>
      </c>
      <c r="J39" s="33">
        <f t="shared" si="30"/>
        <v>3</v>
      </c>
      <c r="K39" s="33">
        <f t="shared" si="31"/>
        <v>9</v>
      </c>
      <c r="L39" s="23">
        <v>333.0</v>
      </c>
      <c r="M39" s="23">
        <v>301.0</v>
      </c>
      <c r="N39" s="23">
        <v>311.0</v>
      </c>
      <c r="O39" s="23">
        <v>298.0</v>
      </c>
      <c r="P39" s="23">
        <v>318.0</v>
      </c>
      <c r="Q39" s="23">
        <v>295.0</v>
      </c>
      <c r="R39" s="23">
        <v>314.0</v>
      </c>
      <c r="S39" s="23">
        <v>329.0</v>
      </c>
      <c r="T39" s="23">
        <v>333.0</v>
      </c>
      <c r="U39" s="33" t="s">
        <v>28</v>
      </c>
      <c r="V39" s="33" t="s">
        <v>28</v>
      </c>
      <c r="W39" s="33" t="s">
        <v>28</v>
      </c>
      <c r="X39" s="33" t="s">
        <v>28</v>
      </c>
      <c r="Y39" s="33" t="s">
        <v>28</v>
      </c>
      <c r="Z39" s="33" t="s">
        <v>28</v>
      </c>
      <c r="AA39" s="33" t="s">
        <v>28</v>
      </c>
      <c r="AB39" s="35">
        <f t="shared" si="22"/>
        <v>333</v>
      </c>
      <c r="AC39" s="35">
        <f t="shared" si="23"/>
        <v>295</v>
      </c>
      <c r="AD39" s="56">
        <f t="shared" si="32"/>
        <v>314.6666667</v>
      </c>
      <c r="AE39" s="36">
        <f t="shared" si="24"/>
        <v>295</v>
      </c>
      <c r="AF39" s="36" t="str">
        <f t="shared" si="25"/>
        <v>&gt;</v>
      </c>
      <c r="AG39" s="36">
        <f t="shared" si="26"/>
        <v>157.3333333</v>
      </c>
      <c r="AH39" s="42">
        <v>300.0</v>
      </c>
      <c r="AI39" s="39" t="str">
        <f t="shared" si="27"/>
        <v>SI</v>
      </c>
      <c r="AJ39" s="39" t="str">
        <f t="shared" si="28"/>
        <v>SI</v>
      </c>
      <c r="AK39" s="40" t="str">
        <f t="shared" si="12"/>
        <v>0</v>
      </c>
      <c r="AL39" s="40" t="str">
        <f t="shared" si="13"/>
        <v>0</v>
      </c>
    </row>
    <row r="40" ht="24.0" customHeight="1">
      <c r="A40" s="1"/>
      <c r="B40" s="33">
        <v>31.0</v>
      </c>
      <c r="C40" s="41" t="s">
        <v>55</v>
      </c>
      <c r="D40" s="33">
        <v>2.35</v>
      </c>
      <c r="E40" s="33">
        <v>2.8</v>
      </c>
      <c r="F40" s="33">
        <v>2.7</v>
      </c>
      <c r="G40" s="34">
        <f t="shared" si="29"/>
        <v>0.4732110752</v>
      </c>
      <c r="H40" s="33">
        <v>1.0</v>
      </c>
      <c r="I40" s="33">
        <v>2.0</v>
      </c>
      <c r="J40" s="33">
        <f t="shared" si="30"/>
        <v>3</v>
      </c>
      <c r="K40" s="33">
        <f t="shared" si="31"/>
        <v>9</v>
      </c>
      <c r="L40" s="23">
        <v>207.0</v>
      </c>
      <c r="M40" s="23">
        <v>137.0</v>
      </c>
      <c r="N40" s="23">
        <v>158.0</v>
      </c>
      <c r="O40" s="23">
        <v>149.0</v>
      </c>
      <c r="P40" s="23">
        <v>186.0</v>
      </c>
      <c r="Q40" s="23">
        <v>244.0</v>
      </c>
      <c r="R40" s="23">
        <v>203.0</v>
      </c>
      <c r="S40" s="23">
        <v>191.0</v>
      </c>
      <c r="T40" s="23">
        <v>211.0</v>
      </c>
      <c r="U40" s="33" t="s">
        <v>28</v>
      </c>
      <c r="V40" s="33" t="s">
        <v>28</v>
      </c>
      <c r="W40" s="33" t="s">
        <v>28</v>
      </c>
      <c r="X40" s="33" t="s">
        <v>28</v>
      </c>
      <c r="Y40" s="33" t="s">
        <v>28</v>
      </c>
      <c r="Z40" s="33" t="s">
        <v>28</v>
      </c>
      <c r="AA40" s="33" t="s">
        <v>28</v>
      </c>
      <c r="AB40" s="35">
        <f t="shared" si="22"/>
        <v>244</v>
      </c>
      <c r="AC40" s="35">
        <f t="shared" si="23"/>
        <v>137</v>
      </c>
      <c r="AD40" s="56">
        <f t="shared" si="32"/>
        <v>187.3333333</v>
      </c>
      <c r="AE40" s="36">
        <f t="shared" si="24"/>
        <v>137</v>
      </c>
      <c r="AF40" s="36" t="str">
        <f t="shared" si="25"/>
        <v>&gt;</v>
      </c>
      <c r="AG40" s="36">
        <f t="shared" si="26"/>
        <v>93.66666667</v>
      </c>
      <c r="AH40" s="42">
        <v>300.0</v>
      </c>
      <c r="AI40" s="39" t="str">
        <f t="shared" si="27"/>
        <v>SI</v>
      </c>
      <c r="AJ40" s="39" t="str">
        <f t="shared" si="28"/>
        <v>NO</v>
      </c>
      <c r="AK40" s="40" t="str">
        <f t="shared" si="12"/>
        <v>0</v>
      </c>
      <c r="AL40" s="40" t="str">
        <f t="shared" si="13"/>
        <v>1</v>
      </c>
    </row>
    <row r="41" ht="24.0" customHeight="1">
      <c r="A41" s="1"/>
      <c r="B41" s="31">
        <v>32.0</v>
      </c>
      <c r="C41" s="41" t="s">
        <v>56</v>
      </c>
      <c r="D41" s="33">
        <v>4.1</v>
      </c>
      <c r="E41" s="33">
        <v>7.16</v>
      </c>
      <c r="F41" s="33">
        <v>2.7</v>
      </c>
      <c r="G41" s="34">
        <f t="shared" si="29"/>
        <v>0.9655943688</v>
      </c>
      <c r="H41" s="33">
        <v>1.0</v>
      </c>
      <c r="I41" s="33">
        <v>2.0</v>
      </c>
      <c r="J41" s="33">
        <f t="shared" si="30"/>
        <v>3</v>
      </c>
      <c r="K41" s="33">
        <f t="shared" si="31"/>
        <v>9</v>
      </c>
      <c r="L41" s="23">
        <v>152.0</v>
      </c>
      <c r="M41" s="23">
        <v>161.0</v>
      </c>
      <c r="N41" s="23">
        <v>164.0</v>
      </c>
      <c r="O41" s="23">
        <v>177.0</v>
      </c>
      <c r="P41" s="23">
        <v>222.0</v>
      </c>
      <c r="Q41" s="23">
        <v>208.0</v>
      </c>
      <c r="R41" s="23">
        <v>217.0</v>
      </c>
      <c r="S41" s="23">
        <v>222.0</v>
      </c>
      <c r="T41" s="23">
        <v>214.0</v>
      </c>
      <c r="U41" s="33" t="s">
        <v>28</v>
      </c>
      <c r="V41" s="33" t="s">
        <v>28</v>
      </c>
      <c r="W41" s="33" t="s">
        <v>28</v>
      </c>
      <c r="X41" s="33" t="s">
        <v>28</v>
      </c>
      <c r="Y41" s="33" t="s">
        <v>28</v>
      </c>
      <c r="Z41" s="33" t="s">
        <v>28</v>
      </c>
      <c r="AA41" s="33" t="s">
        <v>28</v>
      </c>
      <c r="AB41" s="35">
        <f t="shared" si="22"/>
        <v>222</v>
      </c>
      <c r="AC41" s="35">
        <f t="shared" si="23"/>
        <v>152</v>
      </c>
      <c r="AD41" s="56">
        <f t="shared" si="32"/>
        <v>193</v>
      </c>
      <c r="AE41" s="36">
        <f t="shared" si="24"/>
        <v>152</v>
      </c>
      <c r="AF41" s="36" t="str">
        <f t="shared" si="25"/>
        <v>&gt;</v>
      </c>
      <c r="AG41" s="36">
        <f t="shared" si="26"/>
        <v>96.5</v>
      </c>
      <c r="AH41" s="42">
        <v>300.0</v>
      </c>
      <c r="AI41" s="39" t="str">
        <f t="shared" si="27"/>
        <v>SI</v>
      </c>
      <c r="AJ41" s="39" t="str">
        <f t="shared" si="28"/>
        <v>NO</v>
      </c>
      <c r="AK41" s="40" t="str">
        <f t="shared" si="12"/>
        <v>0</v>
      </c>
      <c r="AL41" s="40" t="str">
        <f t="shared" si="13"/>
        <v>1</v>
      </c>
    </row>
    <row r="42" ht="24.0" customHeight="1">
      <c r="A42" s="1"/>
      <c r="B42" s="33">
        <v>33.0</v>
      </c>
      <c r="C42" s="41" t="s">
        <v>91</v>
      </c>
      <c r="D42" s="42">
        <v>4.04</v>
      </c>
      <c r="E42" s="42">
        <v>3.05</v>
      </c>
      <c r="F42" s="42">
        <v>2.7</v>
      </c>
      <c r="G42" s="34">
        <f t="shared" si="29"/>
        <v>0.6436817636</v>
      </c>
      <c r="H42" s="33">
        <v>1.0</v>
      </c>
      <c r="I42" s="33">
        <v>2.0</v>
      </c>
      <c r="J42" s="33">
        <f t="shared" si="30"/>
        <v>3</v>
      </c>
      <c r="K42" s="33">
        <f t="shared" si="31"/>
        <v>9</v>
      </c>
      <c r="L42" s="23">
        <v>102.0</v>
      </c>
      <c r="M42" s="23">
        <v>175.0</v>
      </c>
      <c r="N42" s="23">
        <v>229.0</v>
      </c>
      <c r="O42" s="23">
        <v>226.0</v>
      </c>
      <c r="P42" s="23">
        <v>242.0</v>
      </c>
      <c r="Q42" s="23">
        <v>216.0</v>
      </c>
      <c r="R42" s="23">
        <v>214.0</v>
      </c>
      <c r="S42" s="23">
        <v>224.0</v>
      </c>
      <c r="T42" s="23">
        <v>198.0</v>
      </c>
      <c r="U42" s="33" t="s">
        <v>28</v>
      </c>
      <c r="V42" s="33" t="s">
        <v>28</v>
      </c>
      <c r="W42" s="33" t="s">
        <v>28</v>
      </c>
      <c r="X42" s="33" t="s">
        <v>28</v>
      </c>
      <c r="Y42" s="33" t="s">
        <v>28</v>
      </c>
      <c r="Z42" s="33" t="s">
        <v>28</v>
      </c>
      <c r="AA42" s="33" t="s">
        <v>28</v>
      </c>
      <c r="AB42" s="35">
        <f t="shared" si="22"/>
        <v>242</v>
      </c>
      <c r="AC42" s="35">
        <f t="shared" si="23"/>
        <v>102</v>
      </c>
      <c r="AD42" s="56">
        <f t="shared" si="32"/>
        <v>202.8888889</v>
      </c>
      <c r="AE42" s="36">
        <f t="shared" si="24"/>
        <v>102</v>
      </c>
      <c r="AF42" s="36" t="str">
        <f t="shared" si="25"/>
        <v>&gt;</v>
      </c>
      <c r="AG42" s="36">
        <f t="shared" si="26"/>
        <v>101.4444444</v>
      </c>
      <c r="AH42" s="42">
        <v>300.0</v>
      </c>
      <c r="AI42" s="39" t="str">
        <f t="shared" si="27"/>
        <v>SI</v>
      </c>
      <c r="AJ42" s="39" t="str">
        <f t="shared" si="28"/>
        <v>NO</v>
      </c>
      <c r="AK42" s="40" t="str">
        <f t="shared" si="12"/>
        <v>0</v>
      </c>
      <c r="AL42" s="40" t="str">
        <f t="shared" si="13"/>
        <v>1</v>
      </c>
    </row>
    <row r="43" ht="24.0" customHeight="1">
      <c r="A43" s="1"/>
      <c r="B43" s="33">
        <v>34.0</v>
      </c>
      <c r="C43" s="41" t="s">
        <v>58</v>
      </c>
      <c r="D43" s="33">
        <v>4.67</v>
      </c>
      <c r="E43" s="33">
        <v>4.53</v>
      </c>
      <c r="F43" s="33">
        <v>2.67</v>
      </c>
      <c r="G43" s="34">
        <f t="shared" si="29"/>
        <v>0.8612237421</v>
      </c>
      <c r="H43" s="33">
        <v>1.0</v>
      </c>
      <c r="I43" s="33">
        <v>2.0</v>
      </c>
      <c r="J43" s="33">
        <f t="shared" si="30"/>
        <v>3</v>
      </c>
      <c r="K43" s="33">
        <f t="shared" si="31"/>
        <v>9</v>
      </c>
      <c r="L43" s="23">
        <v>213.0</v>
      </c>
      <c r="M43" s="23">
        <v>230.0</v>
      </c>
      <c r="N43" s="23">
        <v>244.0</v>
      </c>
      <c r="O43" s="23">
        <v>221.0</v>
      </c>
      <c r="P43" s="23">
        <v>184.0</v>
      </c>
      <c r="Q43" s="23">
        <v>197.0</v>
      </c>
      <c r="R43" s="23">
        <v>224.0</v>
      </c>
      <c r="S43" s="23">
        <v>257.0</v>
      </c>
      <c r="T43" s="23">
        <v>219.0</v>
      </c>
      <c r="U43" s="33" t="s">
        <v>28</v>
      </c>
      <c r="V43" s="33" t="s">
        <v>28</v>
      </c>
      <c r="W43" s="33" t="s">
        <v>28</v>
      </c>
      <c r="X43" s="33" t="s">
        <v>28</v>
      </c>
      <c r="Y43" s="33" t="s">
        <v>28</v>
      </c>
      <c r="Z43" s="33" t="s">
        <v>28</v>
      </c>
      <c r="AA43" s="33" t="s">
        <v>28</v>
      </c>
      <c r="AB43" s="35">
        <f t="shared" si="22"/>
        <v>257</v>
      </c>
      <c r="AC43" s="35">
        <f t="shared" si="23"/>
        <v>184</v>
      </c>
      <c r="AD43" s="56">
        <f t="shared" si="32"/>
        <v>221</v>
      </c>
      <c r="AE43" s="36">
        <f t="shared" si="24"/>
        <v>184</v>
      </c>
      <c r="AF43" s="36" t="str">
        <f t="shared" si="25"/>
        <v>&gt;</v>
      </c>
      <c r="AG43" s="36">
        <f t="shared" si="26"/>
        <v>110.5</v>
      </c>
      <c r="AH43" s="42">
        <v>300.0</v>
      </c>
      <c r="AI43" s="39" t="str">
        <f t="shared" si="27"/>
        <v>SI</v>
      </c>
      <c r="AJ43" s="39" t="str">
        <f t="shared" si="28"/>
        <v>NO</v>
      </c>
      <c r="AK43" s="40" t="str">
        <f t="shared" si="12"/>
        <v>0</v>
      </c>
      <c r="AL43" s="40" t="str">
        <f t="shared" si="13"/>
        <v>1</v>
      </c>
    </row>
    <row r="44" ht="24.0" customHeight="1">
      <c r="A44" s="1"/>
      <c r="B44" s="31">
        <v>35.0</v>
      </c>
      <c r="C44" s="41" t="s">
        <v>92</v>
      </c>
      <c r="D44" s="33">
        <v>4.06</v>
      </c>
      <c r="E44" s="33">
        <v>2.84</v>
      </c>
      <c r="F44" s="33">
        <v>2.67</v>
      </c>
      <c r="G44" s="34">
        <f t="shared" si="29"/>
        <v>0.6258698366</v>
      </c>
      <c r="H44" s="33">
        <v>1.0</v>
      </c>
      <c r="I44" s="33">
        <v>2.0</v>
      </c>
      <c r="J44" s="33">
        <f t="shared" si="30"/>
        <v>3</v>
      </c>
      <c r="K44" s="33">
        <f t="shared" si="31"/>
        <v>9</v>
      </c>
      <c r="L44" s="23">
        <v>175.0</v>
      </c>
      <c r="M44" s="23">
        <v>180.0</v>
      </c>
      <c r="N44" s="23">
        <v>187.0</v>
      </c>
      <c r="O44" s="23">
        <v>118.0</v>
      </c>
      <c r="P44" s="23">
        <v>165.0</v>
      </c>
      <c r="Q44" s="23">
        <v>124.0</v>
      </c>
      <c r="R44" s="23">
        <v>220.0</v>
      </c>
      <c r="S44" s="23">
        <v>133.0</v>
      </c>
      <c r="T44" s="23">
        <v>187.0</v>
      </c>
      <c r="U44" s="33" t="s">
        <v>28</v>
      </c>
      <c r="V44" s="33" t="s">
        <v>28</v>
      </c>
      <c r="W44" s="33" t="s">
        <v>28</v>
      </c>
      <c r="X44" s="33" t="s">
        <v>28</v>
      </c>
      <c r="Y44" s="33" t="s">
        <v>28</v>
      </c>
      <c r="Z44" s="33" t="s">
        <v>28</v>
      </c>
      <c r="AA44" s="33" t="s">
        <v>28</v>
      </c>
      <c r="AB44" s="35">
        <f t="shared" si="22"/>
        <v>220</v>
      </c>
      <c r="AC44" s="35">
        <f t="shared" si="23"/>
        <v>118</v>
      </c>
      <c r="AD44" s="56">
        <f t="shared" si="32"/>
        <v>165.4444444</v>
      </c>
      <c r="AE44" s="36">
        <f t="shared" si="24"/>
        <v>118</v>
      </c>
      <c r="AF44" s="36" t="str">
        <f t="shared" si="25"/>
        <v>&gt;</v>
      </c>
      <c r="AG44" s="36">
        <f t="shared" si="26"/>
        <v>82.72222222</v>
      </c>
      <c r="AH44" s="42">
        <v>300.0</v>
      </c>
      <c r="AI44" s="39" t="str">
        <f t="shared" si="27"/>
        <v>SI</v>
      </c>
      <c r="AJ44" s="39" t="str">
        <f t="shared" si="28"/>
        <v>NO</v>
      </c>
      <c r="AK44" s="40" t="str">
        <f t="shared" si="12"/>
        <v>0</v>
      </c>
      <c r="AL44" s="40" t="str">
        <f t="shared" si="13"/>
        <v>1</v>
      </c>
    </row>
    <row r="45" ht="24.0" customHeight="1">
      <c r="A45" s="1"/>
      <c r="B45" s="33">
        <v>36.0</v>
      </c>
      <c r="C45" s="41" t="s">
        <v>59</v>
      </c>
      <c r="D45" s="33">
        <v>5.6</v>
      </c>
      <c r="E45" s="33">
        <v>4.18</v>
      </c>
      <c r="F45" s="33">
        <v>3.83</v>
      </c>
      <c r="G45" s="34">
        <f t="shared" si="29"/>
        <v>0.6249232461</v>
      </c>
      <c r="H45" s="33">
        <v>1.0</v>
      </c>
      <c r="I45" s="33">
        <v>2.0</v>
      </c>
      <c r="J45" s="33">
        <f t="shared" si="30"/>
        <v>3</v>
      </c>
      <c r="K45" s="33">
        <f t="shared" si="31"/>
        <v>9</v>
      </c>
      <c r="L45" s="23">
        <v>291.0</v>
      </c>
      <c r="M45" s="23">
        <v>375.0</v>
      </c>
      <c r="N45" s="23">
        <v>449.0</v>
      </c>
      <c r="O45" s="23">
        <v>488.0</v>
      </c>
      <c r="P45" s="23">
        <v>377.0</v>
      </c>
      <c r="Q45" s="23">
        <v>257.0</v>
      </c>
      <c r="R45" s="23">
        <v>248.0</v>
      </c>
      <c r="S45" s="23">
        <v>283.0</v>
      </c>
      <c r="T45" s="23">
        <v>311.0</v>
      </c>
      <c r="U45" s="33" t="s">
        <v>28</v>
      </c>
      <c r="V45" s="33" t="s">
        <v>28</v>
      </c>
      <c r="W45" s="33" t="s">
        <v>28</v>
      </c>
      <c r="X45" s="33" t="s">
        <v>28</v>
      </c>
      <c r="Y45" s="33" t="s">
        <v>28</v>
      </c>
      <c r="Z45" s="33" t="s">
        <v>28</v>
      </c>
      <c r="AA45" s="33" t="s">
        <v>28</v>
      </c>
      <c r="AB45" s="35">
        <f t="shared" si="22"/>
        <v>488</v>
      </c>
      <c r="AC45" s="35">
        <f t="shared" si="23"/>
        <v>248</v>
      </c>
      <c r="AD45" s="56">
        <f t="shared" si="32"/>
        <v>342.1111111</v>
      </c>
      <c r="AE45" s="36">
        <f t="shared" si="24"/>
        <v>248</v>
      </c>
      <c r="AF45" s="36" t="str">
        <f t="shared" si="25"/>
        <v>&gt;</v>
      </c>
      <c r="AG45" s="36">
        <f t="shared" si="26"/>
        <v>171.0555556</v>
      </c>
      <c r="AH45" s="42">
        <v>300.0</v>
      </c>
      <c r="AI45" s="39" t="str">
        <f t="shared" si="27"/>
        <v>SI</v>
      </c>
      <c r="AJ45" s="39" t="str">
        <f t="shared" si="28"/>
        <v>SI</v>
      </c>
      <c r="AK45" s="40" t="str">
        <f t="shared" si="12"/>
        <v>0</v>
      </c>
      <c r="AL45" s="40" t="str">
        <f t="shared" si="13"/>
        <v>0</v>
      </c>
    </row>
    <row r="46" ht="24.0" customHeight="1">
      <c r="A46" s="1"/>
      <c r="B46" s="33">
        <v>37.0</v>
      </c>
      <c r="C46" s="41" t="s">
        <v>60</v>
      </c>
      <c r="D46" s="33" t="s">
        <v>28</v>
      </c>
      <c r="E46" s="33" t="s">
        <v>28</v>
      </c>
      <c r="F46" s="33" t="s">
        <v>28</v>
      </c>
      <c r="G46" s="33" t="s">
        <v>28</v>
      </c>
      <c r="H46" s="33" t="s">
        <v>28</v>
      </c>
      <c r="I46" s="33" t="s">
        <v>28</v>
      </c>
      <c r="J46" s="33" t="s">
        <v>28</v>
      </c>
      <c r="K46" s="33" t="s">
        <v>28</v>
      </c>
      <c r="L46" s="23">
        <v>95.0</v>
      </c>
      <c r="M46" s="23">
        <v>89.0</v>
      </c>
      <c r="N46" s="23">
        <v>101.0</v>
      </c>
      <c r="O46" s="33" t="s">
        <v>28</v>
      </c>
      <c r="P46" s="33" t="s">
        <v>28</v>
      </c>
      <c r="Q46" s="33" t="s">
        <v>28</v>
      </c>
      <c r="R46" s="33" t="s">
        <v>28</v>
      </c>
      <c r="S46" s="33" t="s">
        <v>28</v>
      </c>
      <c r="T46" s="33" t="s">
        <v>28</v>
      </c>
      <c r="U46" s="33" t="s">
        <v>28</v>
      </c>
      <c r="V46" s="33" t="s">
        <v>28</v>
      </c>
      <c r="W46" s="33" t="s">
        <v>28</v>
      </c>
      <c r="X46" s="33" t="s">
        <v>28</v>
      </c>
      <c r="Y46" s="33" t="s">
        <v>28</v>
      </c>
      <c r="Z46" s="33" t="s">
        <v>28</v>
      </c>
      <c r="AA46" s="33" t="s">
        <v>28</v>
      </c>
      <c r="AB46" s="35">
        <f t="shared" si="22"/>
        <v>101</v>
      </c>
      <c r="AC46" s="35">
        <f t="shared" si="23"/>
        <v>89</v>
      </c>
      <c r="AD46" s="56">
        <f t="shared" si="32"/>
        <v>95</v>
      </c>
      <c r="AE46" s="36">
        <f t="shared" si="24"/>
        <v>89</v>
      </c>
      <c r="AF46" s="36" t="str">
        <f t="shared" si="25"/>
        <v>&gt;</v>
      </c>
      <c r="AG46" s="36">
        <f t="shared" si="26"/>
        <v>47.5</v>
      </c>
      <c r="AH46" s="42">
        <v>200.0</v>
      </c>
      <c r="AI46" s="39" t="str">
        <f t="shared" si="27"/>
        <v>SI</v>
      </c>
      <c r="AJ46" s="39" t="str">
        <f t="shared" si="28"/>
        <v>NO</v>
      </c>
      <c r="AK46" s="40" t="str">
        <f t="shared" si="12"/>
        <v>0</v>
      </c>
      <c r="AL46" s="40" t="str">
        <f t="shared" si="13"/>
        <v>1</v>
      </c>
    </row>
    <row r="47" ht="24.0" customHeight="1">
      <c r="A47" s="1"/>
      <c r="B47" s="31">
        <v>38.0</v>
      </c>
      <c r="C47" s="41" t="s">
        <v>61</v>
      </c>
      <c r="D47" s="33" t="s">
        <v>28</v>
      </c>
      <c r="E47" s="33" t="s">
        <v>28</v>
      </c>
      <c r="F47" s="33" t="s">
        <v>28</v>
      </c>
      <c r="G47" s="33" t="s">
        <v>28</v>
      </c>
      <c r="H47" s="33" t="s">
        <v>28</v>
      </c>
      <c r="I47" s="33" t="s">
        <v>28</v>
      </c>
      <c r="J47" s="33" t="s">
        <v>28</v>
      </c>
      <c r="K47" s="33" t="s">
        <v>28</v>
      </c>
      <c r="L47" s="23">
        <v>511.0</v>
      </c>
      <c r="M47" s="23">
        <v>532.0</v>
      </c>
      <c r="N47" s="33" t="s">
        <v>28</v>
      </c>
      <c r="O47" s="33" t="s">
        <v>28</v>
      </c>
      <c r="P47" s="33" t="s">
        <v>28</v>
      </c>
      <c r="Q47" s="33" t="s">
        <v>28</v>
      </c>
      <c r="R47" s="33" t="s">
        <v>28</v>
      </c>
      <c r="S47" s="33" t="s">
        <v>28</v>
      </c>
      <c r="T47" s="33" t="s">
        <v>28</v>
      </c>
      <c r="U47" s="33" t="s">
        <v>28</v>
      </c>
      <c r="V47" s="33" t="s">
        <v>28</v>
      </c>
      <c r="W47" s="33" t="s">
        <v>28</v>
      </c>
      <c r="X47" s="33" t="s">
        <v>28</v>
      </c>
      <c r="Y47" s="33" t="s">
        <v>28</v>
      </c>
      <c r="Z47" s="33" t="s">
        <v>28</v>
      </c>
      <c r="AA47" s="33" t="s">
        <v>28</v>
      </c>
      <c r="AB47" s="35">
        <f t="shared" si="22"/>
        <v>532</v>
      </c>
      <c r="AC47" s="35">
        <f t="shared" si="23"/>
        <v>511</v>
      </c>
      <c r="AD47" s="56">
        <f t="shared" si="32"/>
        <v>521.5</v>
      </c>
      <c r="AE47" s="36">
        <f t="shared" si="24"/>
        <v>511</v>
      </c>
      <c r="AF47" s="36" t="str">
        <f t="shared" si="25"/>
        <v>&gt;</v>
      </c>
      <c r="AG47" s="36">
        <f t="shared" si="26"/>
        <v>260.75</v>
      </c>
      <c r="AH47" s="42">
        <v>200.0</v>
      </c>
      <c r="AI47" s="39" t="str">
        <f t="shared" si="27"/>
        <v>SI</v>
      </c>
      <c r="AJ47" s="39" t="str">
        <f t="shared" si="28"/>
        <v>SI</v>
      </c>
      <c r="AK47" s="40" t="str">
        <f t="shared" si="12"/>
        <v>0</v>
      </c>
      <c r="AL47" s="40" t="str">
        <f t="shared" si="13"/>
        <v>0</v>
      </c>
    </row>
    <row r="48" ht="24.0" customHeight="1">
      <c r="A48" s="1"/>
      <c r="B48" s="33">
        <v>39.0</v>
      </c>
      <c r="C48" s="41" t="s">
        <v>62</v>
      </c>
      <c r="D48" s="33">
        <v>2.97</v>
      </c>
      <c r="E48" s="33">
        <v>3.0</v>
      </c>
      <c r="F48" s="33">
        <v>2.7</v>
      </c>
      <c r="G48" s="21">
        <f>+(D48*E48)/(F48*(D48+E48))</f>
        <v>0.5527638191</v>
      </c>
      <c r="H48" s="33">
        <v>1.0</v>
      </c>
      <c r="I48" s="33">
        <v>2.0</v>
      </c>
      <c r="J48" s="33">
        <f>+H48+I48</f>
        <v>3</v>
      </c>
      <c r="K48" s="33">
        <f>POWER(J48,2)</f>
        <v>9</v>
      </c>
      <c r="L48" s="23">
        <v>216.0</v>
      </c>
      <c r="M48" s="23">
        <v>262.0</v>
      </c>
      <c r="N48" s="23">
        <v>275.0</v>
      </c>
      <c r="O48" s="23">
        <v>260.0</v>
      </c>
      <c r="P48" s="23">
        <v>321.0</v>
      </c>
      <c r="Q48" s="23">
        <v>290.0</v>
      </c>
      <c r="R48" s="23">
        <v>244.0</v>
      </c>
      <c r="S48" s="23">
        <v>289.0</v>
      </c>
      <c r="T48" s="23">
        <v>204.0</v>
      </c>
      <c r="U48" s="33" t="s">
        <v>28</v>
      </c>
      <c r="V48" s="33" t="s">
        <v>28</v>
      </c>
      <c r="W48" s="33" t="s">
        <v>28</v>
      </c>
      <c r="X48" s="33" t="s">
        <v>28</v>
      </c>
      <c r="Y48" s="33" t="s">
        <v>28</v>
      </c>
      <c r="Z48" s="33" t="s">
        <v>28</v>
      </c>
      <c r="AA48" s="33" t="s">
        <v>28</v>
      </c>
      <c r="AB48" s="35">
        <f t="shared" si="22"/>
        <v>321</v>
      </c>
      <c r="AC48" s="35">
        <f t="shared" si="23"/>
        <v>204</v>
      </c>
      <c r="AD48" s="56">
        <f t="shared" si="32"/>
        <v>262.3333333</v>
      </c>
      <c r="AE48" s="36">
        <f t="shared" si="24"/>
        <v>204</v>
      </c>
      <c r="AF48" s="36" t="str">
        <f t="shared" si="25"/>
        <v>&gt;</v>
      </c>
      <c r="AG48" s="36">
        <f t="shared" si="26"/>
        <v>131.1666667</v>
      </c>
      <c r="AH48" s="42">
        <v>300.0</v>
      </c>
      <c r="AI48" s="39" t="str">
        <f t="shared" si="27"/>
        <v>SI</v>
      </c>
      <c r="AJ48" s="39" t="str">
        <f t="shared" si="28"/>
        <v>NO</v>
      </c>
      <c r="AK48" s="40" t="str">
        <f t="shared" si="12"/>
        <v>0</v>
      </c>
      <c r="AL48" s="40" t="str">
        <f t="shared" si="13"/>
        <v>1</v>
      </c>
    </row>
    <row r="49" ht="24.0" customHeight="1">
      <c r="A49" s="1"/>
      <c r="B49" s="33">
        <v>40.0</v>
      </c>
      <c r="C49" s="41" t="s">
        <v>63</v>
      </c>
      <c r="D49" s="33" t="s">
        <v>28</v>
      </c>
      <c r="E49" s="33" t="s">
        <v>28</v>
      </c>
      <c r="F49" s="33" t="s">
        <v>28</v>
      </c>
      <c r="G49" s="33" t="s">
        <v>28</v>
      </c>
      <c r="H49" s="33" t="s">
        <v>28</v>
      </c>
      <c r="I49" s="33" t="s">
        <v>28</v>
      </c>
      <c r="J49" s="33" t="s">
        <v>28</v>
      </c>
      <c r="K49" s="33" t="s">
        <v>28</v>
      </c>
      <c r="L49" s="23">
        <v>47.0</v>
      </c>
      <c r="M49" s="23">
        <v>20.0</v>
      </c>
      <c r="N49" s="23">
        <v>24.0</v>
      </c>
      <c r="O49" s="33" t="s">
        <v>28</v>
      </c>
      <c r="P49" s="33" t="s">
        <v>28</v>
      </c>
      <c r="Q49" s="33" t="s">
        <v>28</v>
      </c>
      <c r="R49" s="33" t="s">
        <v>28</v>
      </c>
      <c r="S49" s="33" t="s">
        <v>28</v>
      </c>
      <c r="T49" s="33" t="s">
        <v>28</v>
      </c>
      <c r="U49" s="33" t="s">
        <v>28</v>
      </c>
      <c r="V49" s="33" t="s">
        <v>28</v>
      </c>
      <c r="W49" s="33" t="s">
        <v>28</v>
      </c>
      <c r="X49" s="33" t="s">
        <v>28</v>
      </c>
      <c r="Y49" s="33" t="s">
        <v>28</v>
      </c>
      <c r="Z49" s="33" t="s">
        <v>28</v>
      </c>
      <c r="AA49" s="33" t="s">
        <v>28</v>
      </c>
      <c r="AB49" s="35">
        <f t="shared" si="22"/>
        <v>47</v>
      </c>
      <c r="AC49" s="35">
        <f t="shared" si="23"/>
        <v>20</v>
      </c>
      <c r="AD49" s="56">
        <f t="shared" si="32"/>
        <v>30.33333333</v>
      </c>
      <c r="AE49" s="36">
        <f t="shared" si="24"/>
        <v>20</v>
      </c>
      <c r="AF49" s="36" t="str">
        <f t="shared" si="25"/>
        <v>&gt;</v>
      </c>
      <c r="AG49" s="36">
        <f t="shared" si="26"/>
        <v>15.16666667</v>
      </c>
      <c r="AH49" s="42">
        <v>100.0</v>
      </c>
      <c r="AI49" s="39" t="str">
        <f t="shared" si="27"/>
        <v>SI</v>
      </c>
      <c r="AJ49" s="39" t="str">
        <f t="shared" si="28"/>
        <v>NO</v>
      </c>
      <c r="AK49" s="40" t="str">
        <f t="shared" si="12"/>
        <v>0</v>
      </c>
      <c r="AL49" s="40" t="str">
        <f t="shared" si="13"/>
        <v>1</v>
      </c>
    </row>
    <row r="50" ht="24.0" customHeight="1">
      <c r="A50" s="1"/>
      <c r="B50" s="31">
        <v>41.0</v>
      </c>
      <c r="C50" s="41" t="s">
        <v>64</v>
      </c>
      <c r="D50" s="33">
        <v>3.94</v>
      </c>
      <c r="E50" s="33">
        <v>3.35</v>
      </c>
      <c r="F50" s="33">
        <v>3.32</v>
      </c>
      <c r="G50" s="34">
        <f>+(D50*E50)/(F50*(D50+E50))</f>
        <v>0.5453501248</v>
      </c>
      <c r="H50" s="33">
        <v>1.0</v>
      </c>
      <c r="I50" s="33">
        <v>2.0</v>
      </c>
      <c r="J50" s="33">
        <f>+H50+I50</f>
        <v>3</v>
      </c>
      <c r="K50" s="33">
        <f>POWER(J50,2)</f>
        <v>9</v>
      </c>
      <c r="L50" s="23">
        <v>165.0</v>
      </c>
      <c r="M50" s="23">
        <v>188.0</v>
      </c>
      <c r="N50" s="23">
        <v>198.0</v>
      </c>
      <c r="O50" s="23">
        <v>183.0</v>
      </c>
      <c r="P50" s="23">
        <v>211.0</v>
      </c>
      <c r="Q50" s="23">
        <v>255.0</v>
      </c>
      <c r="R50" s="23">
        <v>187.0</v>
      </c>
      <c r="S50" s="23">
        <v>194.0</v>
      </c>
      <c r="T50" s="23">
        <v>190.0</v>
      </c>
      <c r="U50" s="33" t="s">
        <v>28</v>
      </c>
      <c r="V50" s="33" t="s">
        <v>28</v>
      </c>
      <c r="W50" s="33" t="s">
        <v>28</v>
      </c>
      <c r="X50" s="33" t="s">
        <v>28</v>
      </c>
      <c r="Y50" s="33" t="s">
        <v>28</v>
      </c>
      <c r="Z50" s="33" t="s">
        <v>28</v>
      </c>
      <c r="AA50" s="33" t="s">
        <v>28</v>
      </c>
      <c r="AB50" s="35">
        <f t="shared" si="22"/>
        <v>255</v>
      </c>
      <c r="AC50" s="35">
        <f t="shared" si="23"/>
        <v>165</v>
      </c>
      <c r="AD50" s="56">
        <f t="shared" si="32"/>
        <v>196.7777778</v>
      </c>
      <c r="AE50" s="36">
        <f t="shared" si="24"/>
        <v>165</v>
      </c>
      <c r="AF50" s="36" t="str">
        <f t="shared" si="25"/>
        <v>&gt;</v>
      </c>
      <c r="AG50" s="36">
        <f t="shared" si="26"/>
        <v>98.38888889</v>
      </c>
      <c r="AH50" s="42">
        <v>300.0</v>
      </c>
      <c r="AI50" s="39" t="str">
        <f t="shared" si="27"/>
        <v>SI</v>
      </c>
      <c r="AJ50" s="39" t="str">
        <f t="shared" si="28"/>
        <v>NO</v>
      </c>
      <c r="AK50" s="40" t="str">
        <f t="shared" si="12"/>
        <v>0</v>
      </c>
      <c r="AL50" s="40" t="str">
        <f t="shared" si="13"/>
        <v>1</v>
      </c>
    </row>
    <row r="51" ht="24.0" customHeight="1">
      <c r="A51" s="1"/>
      <c r="B51" s="33">
        <v>42.0</v>
      </c>
      <c r="C51" s="41" t="s">
        <v>93</v>
      </c>
      <c r="D51" s="33" t="s">
        <v>28</v>
      </c>
      <c r="E51" s="33" t="s">
        <v>28</v>
      </c>
      <c r="F51" s="33" t="s">
        <v>28</v>
      </c>
      <c r="G51" s="33" t="s">
        <v>28</v>
      </c>
      <c r="H51" s="33" t="s">
        <v>28</v>
      </c>
      <c r="I51" s="33" t="s">
        <v>28</v>
      </c>
      <c r="J51" s="33" t="s">
        <v>28</v>
      </c>
      <c r="K51" s="33" t="s">
        <v>28</v>
      </c>
      <c r="L51" s="23">
        <v>165.0</v>
      </c>
      <c r="M51" s="23">
        <v>240.0</v>
      </c>
      <c r="N51" s="33" t="s">
        <v>28</v>
      </c>
      <c r="O51" s="33" t="s">
        <v>28</v>
      </c>
      <c r="P51" s="33" t="s">
        <v>28</v>
      </c>
      <c r="Q51" s="33" t="s">
        <v>28</v>
      </c>
      <c r="R51" s="33" t="s">
        <v>28</v>
      </c>
      <c r="S51" s="33" t="s">
        <v>28</v>
      </c>
      <c r="T51" s="33" t="s">
        <v>28</v>
      </c>
      <c r="U51" s="33" t="s">
        <v>28</v>
      </c>
      <c r="V51" s="33" t="s">
        <v>28</v>
      </c>
      <c r="W51" s="33" t="s">
        <v>28</v>
      </c>
      <c r="X51" s="33" t="s">
        <v>28</v>
      </c>
      <c r="Y51" s="33" t="s">
        <v>28</v>
      </c>
      <c r="Z51" s="33" t="s">
        <v>28</v>
      </c>
      <c r="AA51" s="33" t="s">
        <v>28</v>
      </c>
      <c r="AB51" s="35">
        <f t="shared" si="22"/>
        <v>240</v>
      </c>
      <c r="AC51" s="35">
        <f t="shared" si="23"/>
        <v>165</v>
      </c>
      <c r="AD51" s="56">
        <f t="shared" si="32"/>
        <v>202.5</v>
      </c>
      <c r="AE51" s="36">
        <f t="shared" si="24"/>
        <v>165</v>
      </c>
      <c r="AF51" s="36" t="str">
        <f t="shared" si="25"/>
        <v>&gt;</v>
      </c>
      <c r="AG51" s="36">
        <f t="shared" si="26"/>
        <v>101.25</v>
      </c>
      <c r="AH51" s="42">
        <v>100.0</v>
      </c>
      <c r="AI51" s="39" t="str">
        <f t="shared" si="27"/>
        <v>SI</v>
      </c>
      <c r="AJ51" s="39" t="str">
        <f t="shared" si="28"/>
        <v>SI</v>
      </c>
      <c r="AK51" s="40" t="str">
        <f t="shared" si="12"/>
        <v>0</v>
      </c>
      <c r="AL51" s="40" t="str">
        <f t="shared" si="13"/>
        <v>0</v>
      </c>
    </row>
    <row r="52" ht="24.0" customHeight="1">
      <c r="A52" s="1"/>
      <c r="B52" s="33">
        <v>43.0</v>
      </c>
      <c r="C52" s="41" t="s">
        <v>66</v>
      </c>
      <c r="D52" s="33">
        <v>3.78</v>
      </c>
      <c r="E52" s="33">
        <v>2.67</v>
      </c>
      <c r="F52" s="33">
        <v>4.25</v>
      </c>
      <c r="G52" s="34">
        <f t="shared" ref="G52:G56" si="33">+(D52*E52)/(F52*(D52+E52))</f>
        <v>0.3681751026</v>
      </c>
      <c r="H52" s="33">
        <v>1.0</v>
      </c>
      <c r="I52" s="33">
        <v>2.0</v>
      </c>
      <c r="J52" s="33">
        <f t="shared" ref="J52:J56" si="34">+H52+I52</f>
        <v>3</v>
      </c>
      <c r="K52" s="33">
        <f t="shared" ref="K52:K56" si="35">POWER(J52,2)</f>
        <v>9</v>
      </c>
      <c r="L52" s="23">
        <v>423.0</v>
      </c>
      <c r="M52" s="23">
        <v>444.0</v>
      </c>
      <c r="N52" s="23">
        <v>203.0</v>
      </c>
      <c r="O52" s="23">
        <v>455.0</v>
      </c>
      <c r="P52" s="23">
        <v>384.0</v>
      </c>
      <c r="Q52" s="23">
        <v>279.0</v>
      </c>
      <c r="R52" s="23">
        <v>356.0</v>
      </c>
      <c r="S52" s="23">
        <v>350.0</v>
      </c>
      <c r="T52" s="23">
        <v>306.0</v>
      </c>
      <c r="U52" s="33" t="s">
        <v>28</v>
      </c>
      <c r="V52" s="33" t="s">
        <v>28</v>
      </c>
      <c r="W52" s="33" t="s">
        <v>28</v>
      </c>
      <c r="X52" s="33" t="s">
        <v>28</v>
      </c>
      <c r="Y52" s="33" t="s">
        <v>28</v>
      </c>
      <c r="Z52" s="33" t="s">
        <v>28</v>
      </c>
      <c r="AA52" s="33" t="s">
        <v>28</v>
      </c>
      <c r="AB52" s="35">
        <f t="shared" si="22"/>
        <v>455</v>
      </c>
      <c r="AC52" s="35">
        <f t="shared" si="23"/>
        <v>203</v>
      </c>
      <c r="AD52" s="56">
        <f t="shared" si="32"/>
        <v>355.5555556</v>
      </c>
      <c r="AE52" s="36">
        <f t="shared" si="24"/>
        <v>203</v>
      </c>
      <c r="AF52" s="36" t="str">
        <f t="shared" si="25"/>
        <v>&gt;</v>
      </c>
      <c r="AG52" s="36">
        <f t="shared" si="26"/>
        <v>177.7777778</v>
      </c>
      <c r="AH52" s="42">
        <v>300.0</v>
      </c>
      <c r="AI52" s="39" t="str">
        <f t="shared" si="27"/>
        <v>SI</v>
      </c>
      <c r="AJ52" s="39" t="str">
        <f t="shared" si="28"/>
        <v>SI</v>
      </c>
      <c r="AK52" s="40" t="str">
        <f t="shared" si="12"/>
        <v>0</v>
      </c>
      <c r="AL52" s="40" t="str">
        <f t="shared" si="13"/>
        <v>0</v>
      </c>
    </row>
    <row r="53" ht="24.0" customHeight="1">
      <c r="A53" s="1"/>
      <c r="B53" s="31">
        <v>44.0</v>
      </c>
      <c r="C53" s="41" t="s">
        <v>67</v>
      </c>
      <c r="D53" s="33">
        <v>7.77</v>
      </c>
      <c r="E53" s="33">
        <v>4.19</v>
      </c>
      <c r="F53" s="33">
        <v>2.94</v>
      </c>
      <c r="G53" s="21">
        <f t="shared" si="33"/>
        <v>0.9258838987</v>
      </c>
      <c r="H53" s="33">
        <v>1.0</v>
      </c>
      <c r="I53" s="33">
        <v>2.0</v>
      </c>
      <c r="J53" s="33">
        <f t="shared" si="34"/>
        <v>3</v>
      </c>
      <c r="K53" s="33">
        <f t="shared" si="35"/>
        <v>9</v>
      </c>
      <c r="L53" s="23">
        <v>173.0</v>
      </c>
      <c r="M53" s="23">
        <v>178.0</v>
      </c>
      <c r="N53" s="23">
        <v>170.0</v>
      </c>
      <c r="O53" s="23">
        <v>184.0</v>
      </c>
      <c r="P53" s="23">
        <v>196.0</v>
      </c>
      <c r="Q53" s="23">
        <v>213.0</v>
      </c>
      <c r="R53" s="23">
        <v>168.0</v>
      </c>
      <c r="S53" s="23">
        <v>175.0</v>
      </c>
      <c r="T53" s="23">
        <v>165.0</v>
      </c>
      <c r="U53" s="33" t="s">
        <v>28</v>
      </c>
      <c r="V53" s="33" t="s">
        <v>28</v>
      </c>
      <c r="W53" s="33" t="s">
        <v>28</v>
      </c>
      <c r="X53" s="33" t="s">
        <v>28</v>
      </c>
      <c r="Y53" s="33" t="s">
        <v>28</v>
      </c>
      <c r="Z53" s="33" t="s">
        <v>28</v>
      </c>
      <c r="AA53" s="33" t="s">
        <v>28</v>
      </c>
      <c r="AB53" s="35">
        <f t="shared" si="22"/>
        <v>213</v>
      </c>
      <c r="AC53" s="35">
        <f t="shared" si="23"/>
        <v>165</v>
      </c>
      <c r="AD53" s="56">
        <f t="shared" si="32"/>
        <v>180.2222222</v>
      </c>
      <c r="AE53" s="36">
        <f t="shared" si="24"/>
        <v>165</v>
      </c>
      <c r="AF53" s="36" t="str">
        <f t="shared" si="25"/>
        <v>&gt;</v>
      </c>
      <c r="AG53" s="36">
        <f t="shared" si="26"/>
        <v>90.11111111</v>
      </c>
      <c r="AH53" s="42">
        <v>500.0</v>
      </c>
      <c r="AI53" s="39" t="str">
        <f t="shared" si="27"/>
        <v>SI</v>
      </c>
      <c r="AJ53" s="39" t="str">
        <f t="shared" si="28"/>
        <v>NO</v>
      </c>
      <c r="AK53" s="40" t="str">
        <f t="shared" si="12"/>
        <v>0</v>
      </c>
      <c r="AL53" s="40" t="str">
        <f t="shared" si="13"/>
        <v>1</v>
      </c>
    </row>
    <row r="54" ht="24.0" customHeight="1">
      <c r="A54" s="1"/>
      <c r="B54" s="33">
        <v>45.0</v>
      </c>
      <c r="C54" s="41" t="s">
        <v>68</v>
      </c>
      <c r="D54" s="33">
        <v>2.63</v>
      </c>
      <c r="E54" s="33">
        <v>4.18</v>
      </c>
      <c r="F54" s="33">
        <v>2.94</v>
      </c>
      <c r="G54" s="34">
        <f t="shared" si="33"/>
        <v>0.5490824817</v>
      </c>
      <c r="H54" s="33">
        <v>1.0</v>
      </c>
      <c r="I54" s="33">
        <v>2.0</v>
      </c>
      <c r="J54" s="33">
        <f t="shared" si="34"/>
        <v>3</v>
      </c>
      <c r="K54" s="33">
        <f t="shared" si="35"/>
        <v>9</v>
      </c>
      <c r="L54" s="23">
        <v>98.0</v>
      </c>
      <c r="M54" s="23">
        <v>113.0</v>
      </c>
      <c r="N54" s="23">
        <v>108.0</v>
      </c>
      <c r="O54" s="23">
        <v>95.0</v>
      </c>
      <c r="P54" s="23">
        <v>167.0</v>
      </c>
      <c r="Q54" s="23">
        <v>122.0</v>
      </c>
      <c r="R54" s="23">
        <v>97.0</v>
      </c>
      <c r="S54" s="23">
        <v>112.0</v>
      </c>
      <c r="T54" s="23">
        <v>104.0</v>
      </c>
      <c r="U54" s="33" t="s">
        <v>28</v>
      </c>
      <c r="V54" s="33" t="s">
        <v>28</v>
      </c>
      <c r="W54" s="33" t="s">
        <v>28</v>
      </c>
      <c r="X54" s="33" t="s">
        <v>28</v>
      </c>
      <c r="Y54" s="33" t="s">
        <v>28</v>
      </c>
      <c r="Z54" s="33" t="s">
        <v>28</v>
      </c>
      <c r="AA54" s="33" t="s">
        <v>28</v>
      </c>
      <c r="AB54" s="35">
        <f t="shared" si="22"/>
        <v>167</v>
      </c>
      <c r="AC54" s="35">
        <f t="shared" si="23"/>
        <v>95</v>
      </c>
      <c r="AD54" s="56">
        <f t="shared" si="32"/>
        <v>112.8888889</v>
      </c>
      <c r="AE54" s="36">
        <f t="shared" si="24"/>
        <v>95</v>
      </c>
      <c r="AF54" s="36" t="str">
        <f t="shared" si="25"/>
        <v>&gt;</v>
      </c>
      <c r="AG54" s="36">
        <f t="shared" si="26"/>
        <v>56.44444444</v>
      </c>
      <c r="AH54" s="42">
        <v>300.0</v>
      </c>
      <c r="AI54" s="39" t="str">
        <f t="shared" si="27"/>
        <v>SI</v>
      </c>
      <c r="AJ54" s="39" t="str">
        <f t="shared" si="28"/>
        <v>NO</v>
      </c>
      <c r="AK54" s="40" t="str">
        <f t="shared" si="12"/>
        <v>0</v>
      </c>
      <c r="AL54" s="40" t="str">
        <f t="shared" si="13"/>
        <v>1</v>
      </c>
    </row>
    <row r="55" ht="24.0" customHeight="1">
      <c r="A55" s="1"/>
      <c r="B55" s="33">
        <v>46.0</v>
      </c>
      <c r="C55" s="41" t="s">
        <v>69</v>
      </c>
      <c r="D55" s="33">
        <v>2.75</v>
      </c>
      <c r="E55" s="33">
        <v>4.21</v>
      </c>
      <c r="F55" s="33">
        <v>2.94</v>
      </c>
      <c r="G55" s="34">
        <f t="shared" si="33"/>
        <v>0.5657938463</v>
      </c>
      <c r="H55" s="33">
        <v>1.0</v>
      </c>
      <c r="I55" s="33">
        <v>2.0</v>
      </c>
      <c r="J55" s="33">
        <f t="shared" si="34"/>
        <v>3</v>
      </c>
      <c r="K55" s="33">
        <f t="shared" si="35"/>
        <v>9</v>
      </c>
      <c r="L55" s="23">
        <v>53.0</v>
      </c>
      <c r="M55" s="23">
        <v>60.0</v>
      </c>
      <c r="N55" s="23">
        <v>72.0</v>
      </c>
      <c r="O55" s="23">
        <v>69.0</v>
      </c>
      <c r="P55" s="23">
        <v>65.0</v>
      </c>
      <c r="Q55" s="23">
        <v>67.0</v>
      </c>
      <c r="R55" s="23">
        <v>60.0</v>
      </c>
      <c r="S55" s="23">
        <v>63.0</v>
      </c>
      <c r="T55" s="23">
        <v>67.0</v>
      </c>
      <c r="U55" s="33" t="s">
        <v>28</v>
      </c>
      <c r="V55" s="33" t="s">
        <v>28</v>
      </c>
      <c r="W55" s="33" t="s">
        <v>28</v>
      </c>
      <c r="X55" s="33" t="s">
        <v>28</v>
      </c>
      <c r="Y55" s="33" t="s">
        <v>28</v>
      </c>
      <c r="Z55" s="33" t="s">
        <v>28</v>
      </c>
      <c r="AA55" s="33" t="s">
        <v>28</v>
      </c>
      <c r="AB55" s="35">
        <f t="shared" si="22"/>
        <v>72</v>
      </c>
      <c r="AC55" s="35">
        <f t="shared" si="23"/>
        <v>53</v>
      </c>
      <c r="AD55" s="56">
        <f t="shared" si="32"/>
        <v>64</v>
      </c>
      <c r="AE55" s="36">
        <f t="shared" si="24"/>
        <v>53</v>
      </c>
      <c r="AF55" s="36" t="str">
        <f t="shared" si="25"/>
        <v>&gt;</v>
      </c>
      <c r="AG55" s="36">
        <f t="shared" si="26"/>
        <v>32</v>
      </c>
      <c r="AH55" s="42">
        <v>50.0</v>
      </c>
      <c r="AI55" s="39" t="str">
        <f t="shared" si="27"/>
        <v>SI</v>
      </c>
      <c r="AJ55" s="39" t="str">
        <f t="shared" si="28"/>
        <v>SI</v>
      </c>
      <c r="AK55" s="40" t="str">
        <f t="shared" si="12"/>
        <v>0</v>
      </c>
      <c r="AL55" s="40" t="str">
        <f t="shared" si="13"/>
        <v>0</v>
      </c>
    </row>
    <row r="56" ht="24.0" customHeight="1">
      <c r="A56" s="1"/>
      <c r="B56" s="31">
        <v>47.0</v>
      </c>
      <c r="C56" s="41" t="s">
        <v>70</v>
      </c>
      <c r="D56" s="33">
        <v>7.09</v>
      </c>
      <c r="E56" s="33">
        <v>7.72</v>
      </c>
      <c r="F56" s="33">
        <v>3.0</v>
      </c>
      <c r="G56" s="43">
        <f t="shared" si="33"/>
        <v>1.231933378</v>
      </c>
      <c r="H56" s="33">
        <v>1.0</v>
      </c>
      <c r="I56" s="33">
        <v>2.0</v>
      </c>
      <c r="J56" s="33">
        <f t="shared" si="34"/>
        <v>3</v>
      </c>
      <c r="K56" s="33">
        <f t="shared" si="35"/>
        <v>9</v>
      </c>
      <c r="L56" s="23">
        <v>463.0</v>
      </c>
      <c r="M56" s="23">
        <v>332.0</v>
      </c>
      <c r="N56" s="23">
        <v>157.0</v>
      </c>
      <c r="O56" s="23">
        <v>120.0</v>
      </c>
      <c r="P56" s="23">
        <v>293.0</v>
      </c>
      <c r="Q56" s="23">
        <v>384.0</v>
      </c>
      <c r="R56" s="23">
        <v>433.0</v>
      </c>
      <c r="S56" s="23">
        <v>504.0</v>
      </c>
      <c r="T56" s="23">
        <v>358.0</v>
      </c>
      <c r="U56" s="33" t="s">
        <v>28</v>
      </c>
      <c r="V56" s="33" t="s">
        <v>28</v>
      </c>
      <c r="W56" s="33" t="s">
        <v>28</v>
      </c>
      <c r="X56" s="33" t="s">
        <v>28</v>
      </c>
      <c r="Y56" s="33" t="s">
        <v>28</v>
      </c>
      <c r="Z56" s="33" t="s">
        <v>28</v>
      </c>
      <c r="AA56" s="33" t="s">
        <v>28</v>
      </c>
      <c r="AB56" s="35">
        <f t="shared" si="22"/>
        <v>504</v>
      </c>
      <c r="AC56" s="35">
        <f t="shared" si="23"/>
        <v>120</v>
      </c>
      <c r="AD56" s="56">
        <f t="shared" si="32"/>
        <v>338.2222222</v>
      </c>
      <c r="AE56" s="36">
        <f t="shared" si="24"/>
        <v>120</v>
      </c>
      <c r="AF56" s="36" t="str">
        <f t="shared" si="25"/>
        <v>&lt;</v>
      </c>
      <c r="AG56" s="36">
        <f t="shared" si="26"/>
        <v>169.1111111</v>
      </c>
      <c r="AH56" s="42">
        <v>300.0</v>
      </c>
      <c r="AI56" s="39" t="str">
        <f t="shared" si="27"/>
        <v>NO</v>
      </c>
      <c r="AJ56" s="39" t="str">
        <f t="shared" si="28"/>
        <v>SI</v>
      </c>
      <c r="AK56" s="40" t="str">
        <f t="shared" si="12"/>
        <v>1</v>
      </c>
      <c r="AL56" s="40" t="str">
        <f t="shared" si="13"/>
        <v>0</v>
      </c>
    </row>
    <row r="57" ht="24.0" customHeight="1">
      <c r="A57" s="1"/>
      <c r="B57" s="33">
        <v>48.0</v>
      </c>
      <c r="C57" s="41" t="s">
        <v>88</v>
      </c>
      <c r="D57" s="33" t="s">
        <v>28</v>
      </c>
      <c r="E57" s="33" t="s">
        <v>28</v>
      </c>
      <c r="F57" s="33" t="s">
        <v>28</v>
      </c>
      <c r="G57" s="33" t="s">
        <v>28</v>
      </c>
      <c r="H57" s="33" t="s">
        <v>28</v>
      </c>
      <c r="I57" s="33" t="s">
        <v>28</v>
      </c>
      <c r="J57" s="33" t="s">
        <v>28</v>
      </c>
      <c r="K57" s="33" t="s">
        <v>28</v>
      </c>
      <c r="L57" s="23">
        <v>311.0</v>
      </c>
      <c r="M57" s="23">
        <v>293.0</v>
      </c>
      <c r="N57" s="33" t="s">
        <v>28</v>
      </c>
      <c r="O57" s="33" t="s">
        <v>28</v>
      </c>
      <c r="P57" s="33" t="s">
        <v>28</v>
      </c>
      <c r="Q57" s="33" t="s">
        <v>28</v>
      </c>
      <c r="R57" s="33" t="s">
        <v>28</v>
      </c>
      <c r="S57" s="33" t="s">
        <v>28</v>
      </c>
      <c r="T57" s="33" t="s">
        <v>28</v>
      </c>
      <c r="U57" s="33" t="s">
        <v>28</v>
      </c>
      <c r="V57" s="33" t="s">
        <v>28</v>
      </c>
      <c r="W57" s="33" t="s">
        <v>28</v>
      </c>
      <c r="X57" s="33" t="s">
        <v>28</v>
      </c>
      <c r="Y57" s="33" t="s">
        <v>28</v>
      </c>
      <c r="Z57" s="33" t="s">
        <v>28</v>
      </c>
      <c r="AA57" s="33" t="s">
        <v>28</v>
      </c>
      <c r="AB57" s="35">
        <f t="shared" si="22"/>
        <v>311</v>
      </c>
      <c r="AC57" s="35">
        <f t="shared" si="23"/>
        <v>293</v>
      </c>
      <c r="AD57" s="56">
        <f t="shared" si="32"/>
        <v>302</v>
      </c>
      <c r="AE57" s="36">
        <f t="shared" si="24"/>
        <v>293</v>
      </c>
      <c r="AF57" s="36" t="str">
        <f t="shared" si="25"/>
        <v>&gt;</v>
      </c>
      <c r="AG57" s="36">
        <f t="shared" si="26"/>
        <v>151</v>
      </c>
      <c r="AH57" s="42">
        <v>300.0</v>
      </c>
      <c r="AI57" s="39" t="str">
        <f t="shared" si="27"/>
        <v>SI</v>
      </c>
      <c r="AJ57" s="39" t="str">
        <f t="shared" si="28"/>
        <v>SI</v>
      </c>
      <c r="AK57" s="40" t="str">
        <f t="shared" si="12"/>
        <v>0</v>
      </c>
      <c r="AL57" s="40" t="str">
        <f t="shared" si="13"/>
        <v>0</v>
      </c>
    </row>
    <row r="58" ht="24.0" customHeight="1">
      <c r="A58" s="1"/>
      <c r="B58" s="33">
        <v>49.0</v>
      </c>
      <c r="C58" s="41" t="s">
        <v>89</v>
      </c>
      <c r="D58" s="33" t="s">
        <v>28</v>
      </c>
      <c r="E58" s="33" t="s">
        <v>28</v>
      </c>
      <c r="F58" s="33" t="s">
        <v>28</v>
      </c>
      <c r="G58" s="33" t="s">
        <v>28</v>
      </c>
      <c r="H58" s="33" t="s">
        <v>28</v>
      </c>
      <c r="I58" s="33" t="s">
        <v>28</v>
      </c>
      <c r="J58" s="33" t="s">
        <v>28</v>
      </c>
      <c r="K58" s="33" t="s">
        <v>28</v>
      </c>
      <c r="L58" s="23">
        <v>248.0</v>
      </c>
      <c r="M58" s="23">
        <v>170.0</v>
      </c>
      <c r="N58" s="33" t="s">
        <v>28</v>
      </c>
      <c r="O58" s="33" t="s">
        <v>28</v>
      </c>
      <c r="P58" s="33" t="s">
        <v>28</v>
      </c>
      <c r="Q58" s="33" t="s">
        <v>28</v>
      </c>
      <c r="R58" s="33" t="s">
        <v>28</v>
      </c>
      <c r="S58" s="33" t="s">
        <v>28</v>
      </c>
      <c r="T58" s="33" t="s">
        <v>28</v>
      </c>
      <c r="U58" s="33" t="s">
        <v>28</v>
      </c>
      <c r="V58" s="33" t="s">
        <v>28</v>
      </c>
      <c r="W58" s="33" t="s">
        <v>28</v>
      </c>
      <c r="X58" s="33" t="s">
        <v>28</v>
      </c>
      <c r="Y58" s="33" t="s">
        <v>28</v>
      </c>
      <c r="Z58" s="33" t="s">
        <v>28</v>
      </c>
      <c r="AA58" s="33" t="s">
        <v>28</v>
      </c>
      <c r="AB58" s="35">
        <f t="shared" si="22"/>
        <v>248</v>
      </c>
      <c r="AC58" s="35">
        <f t="shared" si="23"/>
        <v>170</v>
      </c>
      <c r="AD58" s="56">
        <f t="shared" si="32"/>
        <v>209</v>
      </c>
      <c r="AE58" s="36">
        <f t="shared" si="24"/>
        <v>170</v>
      </c>
      <c r="AF58" s="36" t="str">
        <f t="shared" si="25"/>
        <v>&gt;</v>
      </c>
      <c r="AG58" s="36">
        <f t="shared" si="26"/>
        <v>104.5</v>
      </c>
      <c r="AH58" s="42">
        <v>100.0</v>
      </c>
      <c r="AI58" s="39" t="str">
        <f t="shared" si="27"/>
        <v>SI</v>
      </c>
      <c r="AJ58" s="39" t="str">
        <f t="shared" si="28"/>
        <v>SI</v>
      </c>
      <c r="AK58" s="40" t="str">
        <f t="shared" si="12"/>
        <v>0</v>
      </c>
      <c r="AL58" s="40" t="str">
        <f t="shared" si="13"/>
        <v>0</v>
      </c>
    </row>
    <row r="59" ht="26.25" customHeight="1">
      <c r="A59" s="1"/>
      <c r="B59" s="31">
        <v>50.0</v>
      </c>
      <c r="C59" s="41" t="s">
        <v>71</v>
      </c>
      <c r="D59" s="33">
        <v>12.0</v>
      </c>
      <c r="E59" s="33">
        <v>6.0</v>
      </c>
      <c r="F59" s="33">
        <v>4.0</v>
      </c>
      <c r="G59" s="43">
        <f t="shared" ref="G59:G60" si="36">+(D59*E59)/(F59*(D59+E59))</f>
        <v>1</v>
      </c>
      <c r="H59" s="33">
        <v>1.0</v>
      </c>
      <c r="I59" s="33">
        <v>2.0</v>
      </c>
      <c r="J59" s="33">
        <f t="shared" ref="J59:J60" si="37">+H59+I59</f>
        <v>3</v>
      </c>
      <c r="K59" s="33">
        <f t="shared" ref="K59:K60" si="38">POWER(J59,2)</f>
        <v>9</v>
      </c>
      <c r="L59" s="23">
        <v>232.0</v>
      </c>
      <c r="M59" s="23">
        <v>184.0</v>
      </c>
      <c r="N59" s="23">
        <v>162.0</v>
      </c>
      <c r="O59" s="23">
        <v>270.0</v>
      </c>
      <c r="P59" s="23">
        <v>176.0</v>
      </c>
      <c r="Q59" s="23">
        <v>195.0</v>
      </c>
      <c r="R59" s="23">
        <v>169.0</v>
      </c>
      <c r="S59" s="23">
        <v>132.0</v>
      </c>
      <c r="T59" s="23">
        <v>188.0</v>
      </c>
      <c r="U59" s="33">
        <v>167.0</v>
      </c>
      <c r="V59" s="33">
        <v>129.0</v>
      </c>
      <c r="W59" s="33">
        <v>145.0</v>
      </c>
      <c r="X59" s="33" t="s">
        <v>28</v>
      </c>
      <c r="Y59" s="33" t="s">
        <v>28</v>
      </c>
      <c r="Z59" s="33" t="s">
        <v>28</v>
      </c>
      <c r="AA59" s="33" t="s">
        <v>28</v>
      </c>
      <c r="AB59" s="35">
        <f t="shared" si="22"/>
        <v>270</v>
      </c>
      <c r="AC59" s="35">
        <f t="shared" si="23"/>
        <v>129</v>
      </c>
      <c r="AD59" s="56">
        <f t="shared" si="32"/>
        <v>179.0833333</v>
      </c>
      <c r="AE59" s="36">
        <f t="shared" si="24"/>
        <v>129</v>
      </c>
      <c r="AF59" s="36" t="str">
        <f t="shared" si="25"/>
        <v>&gt;</v>
      </c>
      <c r="AG59" s="36">
        <f t="shared" si="26"/>
        <v>89.54166667</v>
      </c>
      <c r="AH59" s="42">
        <v>300.0</v>
      </c>
      <c r="AI59" s="39" t="str">
        <f t="shared" si="27"/>
        <v>SI</v>
      </c>
      <c r="AJ59" s="39" t="str">
        <f t="shared" si="28"/>
        <v>NO</v>
      </c>
      <c r="AK59" s="40" t="str">
        <f t="shared" si="12"/>
        <v>0</v>
      </c>
      <c r="AL59" s="40" t="str">
        <f t="shared" si="13"/>
        <v>1</v>
      </c>
    </row>
    <row r="60" ht="27.75" customHeight="1">
      <c r="A60" s="1"/>
      <c r="B60" s="33">
        <v>51.0</v>
      </c>
      <c r="C60" s="41" t="s">
        <v>72</v>
      </c>
      <c r="D60" s="33">
        <v>4.0</v>
      </c>
      <c r="E60" s="33">
        <v>2.0</v>
      </c>
      <c r="F60" s="33">
        <v>3.0</v>
      </c>
      <c r="G60" s="43">
        <f t="shared" si="36"/>
        <v>0.4444444444</v>
      </c>
      <c r="H60" s="33">
        <v>1.0</v>
      </c>
      <c r="I60" s="33">
        <v>2.0</v>
      </c>
      <c r="J60" s="33">
        <f t="shared" si="37"/>
        <v>3</v>
      </c>
      <c r="K60" s="33">
        <f t="shared" si="38"/>
        <v>9</v>
      </c>
      <c r="L60" s="23">
        <v>30.0</v>
      </c>
      <c r="M60" s="23">
        <v>22.0</v>
      </c>
      <c r="N60" s="23">
        <v>23.0</v>
      </c>
      <c r="O60" s="23">
        <v>46.0</v>
      </c>
      <c r="P60" s="23">
        <v>45.0</v>
      </c>
      <c r="Q60" s="23">
        <v>48.0</v>
      </c>
      <c r="R60" s="23">
        <v>64.0</v>
      </c>
      <c r="S60" s="23">
        <v>86.0</v>
      </c>
      <c r="T60" s="23">
        <v>95.0</v>
      </c>
      <c r="U60" s="33" t="s">
        <v>28</v>
      </c>
      <c r="V60" s="33" t="s">
        <v>28</v>
      </c>
      <c r="W60" s="33" t="s">
        <v>28</v>
      </c>
      <c r="X60" s="33" t="s">
        <v>28</v>
      </c>
      <c r="Y60" s="33" t="s">
        <v>28</v>
      </c>
      <c r="Z60" s="33" t="s">
        <v>28</v>
      </c>
      <c r="AA60" s="33" t="s">
        <v>28</v>
      </c>
      <c r="AB60" s="35">
        <f t="shared" si="22"/>
        <v>95</v>
      </c>
      <c r="AC60" s="35">
        <f t="shared" si="23"/>
        <v>22</v>
      </c>
      <c r="AD60" s="56">
        <f t="shared" si="32"/>
        <v>51</v>
      </c>
      <c r="AE60" s="36">
        <f t="shared" si="24"/>
        <v>22</v>
      </c>
      <c r="AF60" s="36" t="str">
        <f t="shared" si="25"/>
        <v>&lt;</v>
      </c>
      <c r="AG60" s="36">
        <f t="shared" si="26"/>
        <v>25.5</v>
      </c>
      <c r="AH60" s="42">
        <v>100.0</v>
      </c>
      <c r="AI60" s="39" t="str">
        <f t="shared" si="27"/>
        <v>NO</v>
      </c>
      <c r="AJ60" s="39" t="str">
        <f t="shared" si="28"/>
        <v>NO</v>
      </c>
      <c r="AK60" s="40" t="str">
        <f t="shared" si="12"/>
        <v>1</v>
      </c>
      <c r="AL60" s="40" t="str">
        <f t="shared" si="13"/>
        <v>1</v>
      </c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D61" s="1"/>
      <c r="AE61" s="1"/>
      <c r="AF61" s="1"/>
      <c r="AG61" s="1"/>
      <c r="AH61" s="1"/>
      <c r="AI61" s="1"/>
      <c r="AJ61" s="1"/>
      <c r="AK61" s="46">
        <f>+AK5+AK8+AK9+AK10+AK11+AK12+AK13+AK14+AK15+AK16+AK17+AK18+AK19+AK20+AK21+AK22+AK23+AK24+AK25+AK26+AK27+AK28+AK33+AK34+AK30+AK31+AK35+AK36+AK37+AK38+AK39+AK40+AK41+AK42+AK43+AK44+AK45+AK46+AK47+AK48+AK49+AK50+AK51+AK52+AK53+AK54+AK55+AK56+AK57+AK58+AK59+AK60</f>
        <v>2</v>
      </c>
      <c r="AL61" s="47">
        <f>+AL5+AL8+AL9+AL10+AL11+AL12+AL13+AL14+AL15+AL16+AL17+AL18+AL19+AL20+AL21+AL22+AL23+AL24+AL25+AL26+AL27+AL28+AL29+AL32+AL33+AL34+AL30+AL31+AL35+AL36+AL37+AL38+AL39+AL40+AL41+AL42+AL43+AL44+AL45+AL46+AL47+AL48+AL49+AL50+AL51+AL52+AL53+AL54+AL55+AL56+AL57+AL58+AL59+AL60</f>
        <v>27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1">
        <f>COUNT(L5:AA29,L30:AA60)</f>
        <v>411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1"/>
      <c r="B72" s="1"/>
      <c r="C72" s="1"/>
      <c r="D72" s="1"/>
      <c r="E72" s="1"/>
      <c r="F72" s="1"/>
      <c r="G72" s="1">
        <f>AVERAGE(F51:H71)</f>
        <v>1.674062531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D99" s="1"/>
      <c r="AE99" s="1"/>
      <c r="AF99" s="1"/>
      <c r="AG99" s="1"/>
      <c r="AH99" s="1"/>
      <c r="AI99" s="1"/>
      <c r="AJ99" s="1"/>
      <c r="AK99" s="1"/>
      <c r="A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59">
    <mergeCell ref="I5:I7"/>
    <mergeCell ref="J5:J7"/>
    <mergeCell ref="I3:I4"/>
    <mergeCell ref="J3:J4"/>
    <mergeCell ref="B5:B7"/>
    <mergeCell ref="C5:C7"/>
    <mergeCell ref="D5:D7"/>
    <mergeCell ref="E5:E7"/>
    <mergeCell ref="F5:F7"/>
    <mergeCell ref="G33:G34"/>
    <mergeCell ref="H33:H34"/>
    <mergeCell ref="I33:I34"/>
    <mergeCell ref="J33:J34"/>
    <mergeCell ref="D33:F33"/>
    <mergeCell ref="L33:AA33"/>
    <mergeCell ref="AB33:AB34"/>
    <mergeCell ref="AC33:AC34"/>
    <mergeCell ref="AD35:AD37"/>
    <mergeCell ref="AD33:AD34"/>
    <mergeCell ref="AE33:AG34"/>
    <mergeCell ref="AH33:AH34"/>
    <mergeCell ref="AI33:AI34"/>
    <mergeCell ref="G5:G7"/>
    <mergeCell ref="H5:H7"/>
    <mergeCell ref="K5:K7"/>
    <mergeCell ref="B32:AJ32"/>
    <mergeCell ref="B33:B34"/>
    <mergeCell ref="C33:C34"/>
    <mergeCell ref="K33:K34"/>
    <mergeCell ref="AJ33:AJ34"/>
    <mergeCell ref="D3:F3"/>
    <mergeCell ref="L3:AA3"/>
    <mergeCell ref="AD3:AD4"/>
    <mergeCell ref="AE3:AG4"/>
    <mergeCell ref="AH3:AH4"/>
    <mergeCell ref="AI3:AI4"/>
    <mergeCell ref="AJ3:AJ4"/>
    <mergeCell ref="AK3:AK4"/>
    <mergeCell ref="AL3:AL4"/>
    <mergeCell ref="C1:Z1"/>
    <mergeCell ref="B2:AJ2"/>
    <mergeCell ref="B3:B4"/>
    <mergeCell ref="C3:C4"/>
    <mergeCell ref="G3:G4"/>
    <mergeCell ref="H3:H4"/>
    <mergeCell ref="K3:K4"/>
    <mergeCell ref="AG5:AG7"/>
    <mergeCell ref="AH5:AH7"/>
    <mergeCell ref="AI5:AI7"/>
    <mergeCell ref="AJ5:AJ7"/>
    <mergeCell ref="AK5:AK7"/>
    <mergeCell ref="AL5:AL7"/>
    <mergeCell ref="AB3:AB4"/>
    <mergeCell ref="AC3:AC4"/>
    <mergeCell ref="AB5:AB7"/>
    <mergeCell ref="AC5:AC7"/>
    <mergeCell ref="AD5:AD7"/>
    <mergeCell ref="AE5:AE7"/>
    <mergeCell ref="AF5:AF7"/>
  </mergeCells>
  <conditionalFormatting sqref="AI5:AL5 AI8:AL31 AI35:AJ60 AK32:AL56 AK54:AK60 AK58:AL61 AL57:AL60">
    <cfRule type="cellIs" dxfId="0" priority="1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33.14"/>
    <col customWidth="1" min="4" max="4" width="8.71"/>
    <col customWidth="1" min="5" max="5" width="8.29"/>
    <col customWidth="1" min="6" max="6" width="6.86"/>
    <col customWidth="1" min="7" max="7" width="7.14"/>
    <col customWidth="1" min="8" max="8" width="6.43"/>
    <col customWidth="1" min="9" max="9" width="9.14"/>
    <col customWidth="1" min="10" max="10" width="7.71"/>
    <col customWidth="1" min="11" max="11" width="6.71"/>
    <col customWidth="1" min="12" max="27" width="5.71"/>
    <col customWidth="1" min="28" max="28" width="11.29"/>
    <col customWidth="1" min="29" max="29" width="6.29"/>
    <col customWidth="1" min="30" max="31" width="4.71"/>
    <col customWidth="1" min="32" max="32" width="9.29"/>
    <col customWidth="1" min="33" max="33" width="14.71"/>
    <col customWidth="1" min="34" max="34" width="14.43"/>
  </cols>
  <sheetData>
    <row r="1">
      <c r="C1" s="59" t="s">
        <v>0</v>
      </c>
      <c r="AA1" s="59"/>
    </row>
    <row r="2" ht="15.0" customHeight="1">
      <c r="B2" s="60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4"/>
      <c r="AB2" s="61"/>
      <c r="AC2" s="61"/>
      <c r="AD2" s="61"/>
      <c r="AE2" s="61"/>
      <c r="AF2" s="61"/>
      <c r="AG2" s="61"/>
      <c r="AH2" s="61"/>
    </row>
    <row r="3" ht="15.0" customHeight="1">
      <c r="B3" s="11" t="s">
        <v>94</v>
      </c>
      <c r="C3" s="11" t="s">
        <v>4</v>
      </c>
      <c r="D3" s="62" t="s">
        <v>5</v>
      </c>
      <c r="E3" s="8"/>
      <c r="F3" s="9"/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62" t="s">
        <v>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63"/>
      <c r="AB3" s="11" t="s">
        <v>15</v>
      </c>
      <c r="AC3" s="64" t="s">
        <v>14</v>
      </c>
      <c r="AD3" s="13"/>
      <c r="AE3" s="14"/>
      <c r="AF3" s="11" t="s">
        <v>16</v>
      </c>
      <c r="AG3" s="11" t="s">
        <v>17</v>
      </c>
      <c r="AH3" s="11" t="s">
        <v>18</v>
      </c>
    </row>
    <row r="4" ht="33.0" customHeight="1">
      <c r="B4" s="15"/>
      <c r="C4" s="15"/>
      <c r="D4" s="65" t="s">
        <v>21</v>
      </c>
      <c r="E4" s="65" t="s">
        <v>22</v>
      </c>
      <c r="F4" s="65" t="s">
        <v>23</v>
      </c>
      <c r="G4" s="15"/>
      <c r="H4" s="15"/>
      <c r="I4" s="15"/>
      <c r="J4" s="15"/>
      <c r="K4" s="15"/>
      <c r="L4" s="66">
        <v>1.0</v>
      </c>
      <c r="M4" s="66">
        <v>2.0</v>
      </c>
      <c r="N4" s="66">
        <v>3.0</v>
      </c>
      <c r="O4" s="66">
        <v>4.0</v>
      </c>
      <c r="P4" s="66">
        <v>5.0</v>
      </c>
      <c r="Q4" s="66">
        <v>6.0</v>
      </c>
      <c r="R4" s="66">
        <v>7.0</v>
      </c>
      <c r="S4" s="66">
        <v>8.0</v>
      </c>
      <c r="T4" s="66">
        <v>9.0</v>
      </c>
      <c r="U4" s="66">
        <v>10.0</v>
      </c>
      <c r="V4" s="66">
        <v>11.0</v>
      </c>
      <c r="W4" s="66">
        <v>12.0</v>
      </c>
      <c r="X4" s="66">
        <v>13.0</v>
      </c>
      <c r="Y4" s="66">
        <v>14.0</v>
      </c>
      <c r="Z4" s="66">
        <v>15.0</v>
      </c>
      <c r="AA4" s="66">
        <v>16.0</v>
      </c>
      <c r="AB4" s="15"/>
      <c r="AC4" s="18"/>
      <c r="AD4" s="19"/>
      <c r="AE4" s="20"/>
      <c r="AF4" s="15"/>
      <c r="AG4" s="15"/>
      <c r="AH4" s="15"/>
    </row>
    <row r="5" ht="24.0" customHeight="1">
      <c r="B5" s="67">
        <v>1.0</v>
      </c>
      <c r="C5" s="68" t="s">
        <v>95</v>
      </c>
      <c r="D5" s="67">
        <v>58.0</v>
      </c>
      <c r="E5" s="67">
        <v>70.0</v>
      </c>
      <c r="F5" s="67">
        <v>4.25</v>
      </c>
      <c r="G5" s="69">
        <f>+(D5*E5)/(F5*(D5+E5))</f>
        <v>7.463235294</v>
      </c>
      <c r="H5" s="67">
        <v>4.0</v>
      </c>
      <c r="I5" s="67">
        <v>2.0</v>
      </c>
      <c r="J5" s="67">
        <f>+H5+I5</f>
        <v>6</v>
      </c>
      <c r="K5" s="67">
        <f>POWER(J5,2)</f>
        <v>36</v>
      </c>
      <c r="L5" s="70">
        <v>587.0</v>
      </c>
      <c r="M5" s="70">
        <v>679.0</v>
      </c>
      <c r="N5" s="70">
        <v>430.0</v>
      </c>
      <c r="O5" s="70">
        <v>551.0</v>
      </c>
      <c r="P5" s="70">
        <v>636.0</v>
      </c>
      <c r="Q5" s="70">
        <v>418.0</v>
      </c>
      <c r="R5" s="70">
        <v>560.0</v>
      </c>
      <c r="S5" s="70">
        <v>776.0</v>
      </c>
      <c r="T5" s="70">
        <v>554.0</v>
      </c>
      <c r="U5" s="70">
        <v>479.0</v>
      </c>
      <c r="V5" s="70">
        <v>672.0</v>
      </c>
      <c r="W5" s="70">
        <v>757.0</v>
      </c>
      <c r="X5" s="70">
        <v>645.0</v>
      </c>
      <c r="Y5" s="70">
        <v>507.0</v>
      </c>
      <c r="Z5" s="70">
        <v>398.0</v>
      </c>
      <c r="AA5" s="70">
        <v>517.0</v>
      </c>
      <c r="AB5" s="24">
        <f>AVERAGE(L5:AA7)</f>
        <v>594.8333333</v>
      </c>
      <c r="AC5" s="67">
        <f>MIN(L5:Z6)</f>
        <v>333</v>
      </c>
      <c r="AD5" s="67" t="str">
        <f>IF(AC5&gt;AE5,"&gt;","&lt;")</f>
        <v>&gt;</v>
      </c>
      <c r="AE5" s="67">
        <f>+AB5/2</f>
        <v>297.4166667</v>
      </c>
      <c r="AF5" s="67">
        <v>500.0</v>
      </c>
      <c r="AG5" s="71" t="str">
        <f>IF(AC5&gt;AE5,"SI","NO")</f>
        <v>SI</v>
      </c>
      <c r="AH5" s="71" t="str">
        <f>IF(AB5&gt;AF5,"SI","NO")</f>
        <v>SI</v>
      </c>
    </row>
    <row r="6" ht="24.0" customHeight="1">
      <c r="B6" s="28"/>
      <c r="C6" s="28"/>
      <c r="D6" s="28"/>
      <c r="E6" s="28"/>
      <c r="F6" s="28"/>
      <c r="G6" s="28"/>
      <c r="H6" s="28"/>
      <c r="I6" s="28"/>
      <c r="J6" s="28"/>
      <c r="K6" s="28"/>
      <c r="L6" s="70">
        <v>403.0</v>
      </c>
      <c r="M6" s="70">
        <v>768.0</v>
      </c>
      <c r="N6" s="70">
        <v>560.0</v>
      </c>
      <c r="O6" s="70">
        <v>540.0</v>
      </c>
      <c r="P6" s="70">
        <v>611.0</v>
      </c>
      <c r="Q6" s="70">
        <v>674.0</v>
      </c>
      <c r="R6" s="70">
        <v>409.0</v>
      </c>
      <c r="S6" s="70">
        <v>676.0</v>
      </c>
      <c r="T6" s="70">
        <v>754.0</v>
      </c>
      <c r="U6" s="70">
        <v>652.0</v>
      </c>
      <c r="V6" s="70">
        <v>613.0</v>
      </c>
      <c r="W6" s="70">
        <v>395.0</v>
      </c>
      <c r="X6" s="70">
        <v>537.0</v>
      </c>
      <c r="Y6" s="70">
        <v>333.0</v>
      </c>
      <c r="Z6" s="70">
        <v>584.0</v>
      </c>
      <c r="AA6" s="70">
        <v>676.0</v>
      </c>
      <c r="AB6" s="28"/>
      <c r="AC6" s="28"/>
      <c r="AD6" s="28"/>
      <c r="AE6" s="28"/>
      <c r="AF6" s="28"/>
      <c r="AG6" s="28"/>
      <c r="AH6" s="28"/>
    </row>
    <row r="7" ht="24.0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70">
        <v>788.0</v>
      </c>
      <c r="M7" s="70">
        <v>741.0</v>
      </c>
      <c r="N7" s="70">
        <v>725.0</v>
      </c>
      <c r="O7" s="70">
        <v>809.0</v>
      </c>
      <c r="P7" s="72" t="s">
        <v>28</v>
      </c>
      <c r="Q7" s="72" t="s">
        <v>28</v>
      </c>
      <c r="R7" s="72" t="s">
        <v>28</v>
      </c>
      <c r="S7" s="72" t="s">
        <v>28</v>
      </c>
      <c r="T7" s="72" t="s">
        <v>28</v>
      </c>
      <c r="U7" s="72" t="s">
        <v>28</v>
      </c>
      <c r="V7" s="72" t="s">
        <v>28</v>
      </c>
      <c r="W7" s="72" t="s">
        <v>28</v>
      </c>
      <c r="X7" s="72" t="s">
        <v>28</v>
      </c>
      <c r="Y7" s="72" t="s">
        <v>28</v>
      </c>
      <c r="Z7" s="72" t="s">
        <v>28</v>
      </c>
      <c r="AA7" s="72" t="s">
        <v>28</v>
      </c>
      <c r="AB7" s="15"/>
      <c r="AC7" s="15"/>
      <c r="AD7" s="15"/>
      <c r="AE7" s="15"/>
      <c r="AF7" s="15"/>
      <c r="AG7" s="15"/>
      <c r="AH7" s="15"/>
    </row>
    <row r="8" ht="24.0" customHeight="1">
      <c r="B8" s="73">
        <v>2.0</v>
      </c>
      <c r="C8" s="74" t="s">
        <v>25</v>
      </c>
      <c r="D8" s="72">
        <v>5.05</v>
      </c>
      <c r="E8" s="72">
        <v>38.25</v>
      </c>
      <c r="F8" s="72">
        <v>4.25</v>
      </c>
      <c r="G8" s="69">
        <f t="shared" ref="G8:G12" si="1">+(D8*E8)/(F8*(D8+E8))</f>
        <v>1.04965358</v>
      </c>
      <c r="H8" s="72">
        <v>1.0</v>
      </c>
      <c r="I8" s="72">
        <v>2.0</v>
      </c>
      <c r="J8" s="72">
        <f t="shared" ref="J8:J12" si="2">+H8+I8</f>
        <v>3</v>
      </c>
      <c r="K8" s="72">
        <f t="shared" ref="K8:K12" si="3">POWER(J8,2)</f>
        <v>9</v>
      </c>
      <c r="L8" s="70">
        <v>930.0</v>
      </c>
      <c r="M8" s="70">
        <v>818.0</v>
      </c>
      <c r="N8" s="70">
        <v>951.0</v>
      </c>
      <c r="O8" s="70">
        <v>905.0</v>
      </c>
      <c r="P8" s="70">
        <v>906.0</v>
      </c>
      <c r="Q8" s="70">
        <v>861.0</v>
      </c>
      <c r="R8" s="70">
        <v>943.0</v>
      </c>
      <c r="S8" s="70">
        <v>872.0</v>
      </c>
      <c r="T8" s="70">
        <v>657.0</v>
      </c>
      <c r="U8" s="72" t="s">
        <v>28</v>
      </c>
      <c r="V8" s="72" t="s">
        <v>28</v>
      </c>
      <c r="W8" s="72" t="s">
        <v>28</v>
      </c>
      <c r="X8" s="72" t="s">
        <v>28</v>
      </c>
      <c r="Y8" s="72" t="s">
        <v>28</v>
      </c>
      <c r="Z8" s="72" t="s">
        <v>28</v>
      </c>
      <c r="AA8" s="72" t="s">
        <v>28</v>
      </c>
      <c r="AB8" s="35">
        <f t="shared" ref="AB8:AB30" si="4">AVERAGE(L8:AA8)</f>
        <v>871.4444444</v>
      </c>
      <c r="AC8" s="35">
        <f t="shared" ref="AC8:AC14" si="5">MIN(L8:Z8)</f>
        <v>657</v>
      </c>
      <c r="AD8" s="35" t="str">
        <f t="shared" ref="AD8:AD30" si="6">IF(AC8&gt;AE8,"&gt;","&lt;")</f>
        <v>&gt;</v>
      </c>
      <c r="AE8" s="35">
        <f t="shared" ref="AE8:AE30" si="7">+AB8/2</f>
        <v>435.7222222</v>
      </c>
      <c r="AF8" s="75">
        <v>500.0</v>
      </c>
      <c r="AG8" s="76" t="str">
        <f t="shared" ref="AG8:AG30" si="8">IF(AC8&gt;AE8,"SI","NO")</f>
        <v>SI</v>
      </c>
      <c r="AH8" s="76" t="str">
        <f t="shared" ref="AH8:AH30" si="9">IF(AB8&gt;AF8,"SI","NO")</f>
        <v>SI</v>
      </c>
    </row>
    <row r="9" ht="24.0" customHeight="1">
      <c r="B9" s="72">
        <v>3.0</v>
      </c>
      <c r="C9" s="77" t="s">
        <v>26</v>
      </c>
      <c r="D9" s="72">
        <v>7.22</v>
      </c>
      <c r="E9" s="72">
        <v>2.39</v>
      </c>
      <c r="F9" s="72">
        <v>4.25</v>
      </c>
      <c r="G9" s="69">
        <f t="shared" si="1"/>
        <v>0.4224961743</v>
      </c>
      <c r="H9" s="72">
        <v>1.0</v>
      </c>
      <c r="I9" s="72">
        <v>2.0</v>
      </c>
      <c r="J9" s="72">
        <f t="shared" si="2"/>
        <v>3</v>
      </c>
      <c r="K9" s="72">
        <f t="shared" si="3"/>
        <v>9</v>
      </c>
      <c r="L9" s="70">
        <v>920.0</v>
      </c>
      <c r="M9" s="70">
        <v>958.0</v>
      </c>
      <c r="N9" s="70">
        <v>1000.0</v>
      </c>
      <c r="O9" s="70">
        <v>805.0</v>
      </c>
      <c r="P9" s="70">
        <v>906.0</v>
      </c>
      <c r="Q9" s="70">
        <v>942.0</v>
      </c>
      <c r="R9" s="70">
        <v>778.0</v>
      </c>
      <c r="S9" s="70">
        <v>842.0</v>
      </c>
      <c r="T9" s="70">
        <v>891.0</v>
      </c>
      <c r="U9" s="72" t="s">
        <v>28</v>
      </c>
      <c r="V9" s="72" t="s">
        <v>28</v>
      </c>
      <c r="W9" s="72" t="s">
        <v>28</v>
      </c>
      <c r="X9" s="72" t="s">
        <v>28</v>
      </c>
      <c r="Y9" s="72" t="s">
        <v>28</v>
      </c>
      <c r="Z9" s="72" t="s">
        <v>28</v>
      </c>
      <c r="AA9" s="72" t="s">
        <v>28</v>
      </c>
      <c r="AB9" s="35">
        <f t="shared" si="4"/>
        <v>893.5555556</v>
      </c>
      <c r="AC9" s="35">
        <f t="shared" si="5"/>
        <v>778</v>
      </c>
      <c r="AD9" s="35" t="str">
        <f t="shared" si="6"/>
        <v>&gt;</v>
      </c>
      <c r="AE9" s="35">
        <f t="shared" si="7"/>
        <v>446.7777778</v>
      </c>
      <c r="AF9" s="78">
        <v>500.0</v>
      </c>
      <c r="AG9" s="76" t="str">
        <f t="shared" si="8"/>
        <v>SI</v>
      </c>
      <c r="AH9" s="76" t="str">
        <f t="shared" si="9"/>
        <v>SI</v>
      </c>
    </row>
    <row r="10" ht="24.0" customHeight="1">
      <c r="B10" s="72">
        <v>4.0</v>
      </c>
      <c r="C10" s="77" t="s">
        <v>27</v>
      </c>
      <c r="D10" s="72">
        <v>2.49</v>
      </c>
      <c r="E10" s="72">
        <v>3.26</v>
      </c>
      <c r="F10" s="72">
        <v>2.88</v>
      </c>
      <c r="G10" s="69">
        <f t="shared" si="1"/>
        <v>0.4901811594</v>
      </c>
      <c r="H10" s="72">
        <v>1.0</v>
      </c>
      <c r="I10" s="72">
        <v>2.0</v>
      </c>
      <c r="J10" s="72">
        <f t="shared" si="2"/>
        <v>3</v>
      </c>
      <c r="K10" s="72">
        <f t="shared" si="3"/>
        <v>9</v>
      </c>
      <c r="L10" s="70">
        <v>194.0</v>
      </c>
      <c r="M10" s="70">
        <v>199.0</v>
      </c>
      <c r="N10" s="70">
        <v>202.0</v>
      </c>
      <c r="O10" s="70">
        <v>182.0</v>
      </c>
      <c r="P10" s="70">
        <v>189.0</v>
      </c>
      <c r="Q10" s="70">
        <v>193.0</v>
      </c>
      <c r="R10" s="70">
        <v>242.0</v>
      </c>
      <c r="S10" s="70">
        <v>249.0</v>
      </c>
      <c r="T10" s="70">
        <v>245.0</v>
      </c>
      <c r="U10" s="72" t="s">
        <v>28</v>
      </c>
      <c r="V10" s="72" t="s">
        <v>28</v>
      </c>
      <c r="W10" s="72" t="s">
        <v>28</v>
      </c>
      <c r="X10" s="72" t="s">
        <v>28</v>
      </c>
      <c r="Y10" s="72" t="s">
        <v>28</v>
      </c>
      <c r="Z10" s="72" t="s">
        <v>28</v>
      </c>
      <c r="AA10" s="72" t="s">
        <v>28</v>
      </c>
      <c r="AB10" s="35">
        <f t="shared" si="4"/>
        <v>210.5555556</v>
      </c>
      <c r="AC10" s="35">
        <f t="shared" si="5"/>
        <v>182</v>
      </c>
      <c r="AD10" s="35" t="str">
        <f t="shared" si="6"/>
        <v>&gt;</v>
      </c>
      <c r="AE10" s="35">
        <f t="shared" si="7"/>
        <v>105.2777778</v>
      </c>
      <c r="AF10" s="78">
        <v>100.0</v>
      </c>
      <c r="AG10" s="76" t="str">
        <f t="shared" si="8"/>
        <v>SI</v>
      </c>
      <c r="AH10" s="76" t="str">
        <f t="shared" si="9"/>
        <v>SI</v>
      </c>
    </row>
    <row r="11" ht="24.0" customHeight="1">
      <c r="B11" s="73">
        <v>5.0</v>
      </c>
      <c r="C11" s="77" t="s">
        <v>96</v>
      </c>
      <c r="D11" s="72">
        <v>3.78</v>
      </c>
      <c r="E11" s="72">
        <v>3.66</v>
      </c>
      <c r="F11" s="72">
        <v>2.88</v>
      </c>
      <c r="G11" s="69">
        <f t="shared" si="1"/>
        <v>0.6456653226</v>
      </c>
      <c r="H11" s="72">
        <v>1.0</v>
      </c>
      <c r="I11" s="72">
        <v>2.0</v>
      </c>
      <c r="J11" s="72">
        <f t="shared" si="2"/>
        <v>3</v>
      </c>
      <c r="K11" s="72">
        <f t="shared" si="3"/>
        <v>9</v>
      </c>
      <c r="L11" s="70">
        <v>112.0</v>
      </c>
      <c r="M11" s="70">
        <v>142.0</v>
      </c>
      <c r="N11" s="70">
        <v>140.0</v>
      </c>
      <c r="O11" s="70">
        <v>224.0</v>
      </c>
      <c r="P11" s="70">
        <v>258.0</v>
      </c>
      <c r="Q11" s="70">
        <v>273.0</v>
      </c>
      <c r="R11" s="70">
        <v>258.0</v>
      </c>
      <c r="S11" s="70">
        <v>209.0</v>
      </c>
      <c r="T11" s="70">
        <v>158.0</v>
      </c>
      <c r="U11" s="72" t="s">
        <v>28</v>
      </c>
      <c r="V11" s="72" t="s">
        <v>28</v>
      </c>
      <c r="W11" s="72" t="s">
        <v>28</v>
      </c>
      <c r="X11" s="72" t="s">
        <v>28</v>
      </c>
      <c r="Y11" s="72" t="s">
        <v>28</v>
      </c>
      <c r="Z11" s="72" t="s">
        <v>28</v>
      </c>
      <c r="AA11" s="72" t="s">
        <v>28</v>
      </c>
      <c r="AB11" s="35">
        <f t="shared" si="4"/>
        <v>197.1111111</v>
      </c>
      <c r="AC11" s="35">
        <f t="shared" si="5"/>
        <v>112</v>
      </c>
      <c r="AD11" s="35" t="str">
        <f t="shared" si="6"/>
        <v>&gt;</v>
      </c>
      <c r="AE11" s="35">
        <f t="shared" si="7"/>
        <v>98.55555556</v>
      </c>
      <c r="AF11" s="78">
        <v>500.0</v>
      </c>
      <c r="AG11" s="76" t="str">
        <f t="shared" si="8"/>
        <v>SI</v>
      </c>
      <c r="AH11" s="76" t="str">
        <f t="shared" si="9"/>
        <v>NO</v>
      </c>
    </row>
    <row r="12" ht="24.0" customHeight="1">
      <c r="B12" s="72">
        <v>6.0</v>
      </c>
      <c r="C12" s="77" t="s">
        <v>30</v>
      </c>
      <c r="D12" s="72">
        <v>3.61</v>
      </c>
      <c r="E12" s="72">
        <v>6.15</v>
      </c>
      <c r="F12" s="72">
        <v>2.88</v>
      </c>
      <c r="G12" s="69">
        <f t="shared" si="1"/>
        <v>0.7898416154</v>
      </c>
      <c r="H12" s="72">
        <v>1.0</v>
      </c>
      <c r="I12" s="72">
        <v>2.0</v>
      </c>
      <c r="J12" s="72">
        <f t="shared" si="2"/>
        <v>3</v>
      </c>
      <c r="K12" s="72">
        <f t="shared" si="3"/>
        <v>9</v>
      </c>
      <c r="L12" s="70">
        <v>244.0</v>
      </c>
      <c r="M12" s="70">
        <v>283.0</v>
      </c>
      <c r="N12" s="70">
        <v>266.0</v>
      </c>
      <c r="O12" s="70">
        <v>235.0</v>
      </c>
      <c r="P12" s="70">
        <v>271.0</v>
      </c>
      <c r="Q12" s="70">
        <v>240.0</v>
      </c>
      <c r="R12" s="70">
        <v>144.0</v>
      </c>
      <c r="S12" s="70">
        <v>115.0</v>
      </c>
      <c r="T12" s="70">
        <v>134.0</v>
      </c>
      <c r="U12" s="72" t="s">
        <v>28</v>
      </c>
      <c r="V12" s="72" t="s">
        <v>28</v>
      </c>
      <c r="W12" s="72" t="s">
        <v>28</v>
      </c>
      <c r="X12" s="72" t="s">
        <v>28</v>
      </c>
      <c r="Y12" s="72" t="s">
        <v>28</v>
      </c>
      <c r="Z12" s="72" t="s">
        <v>28</v>
      </c>
      <c r="AA12" s="72" t="s">
        <v>28</v>
      </c>
      <c r="AB12" s="35">
        <f t="shared" si="4"/>
        <v>214.6666667</v>
      </c>
      <c r="AC12" s="35">
        <f t="shared" si="5"/>
        <v>115</v>
      </c>
      <c r="AD12" s="35" t="str">
        <f t="shared" si="6"/>
        <v>&gt;</v>
      </c>
      <c r="AE12" s="35">
        <f t="shared" si="7"/>
        <v>107.3333333</v>
      </c>
      <c r="AF12" s="78">
        <v>500.0</v>
      </c>
      <c r="AG12" s="76" t="str">
        <f t="shared" si="8"/>
        <v>SI</v>
      </c>
      <c r="AH12" s="76" t="str">
        <f t="shared" si="9"/>
        <v>NO</v>
      </c>
    </row>
    <row r="13" ht="24.0" customHeight="1">
      <c r="B13" s="72">
        <v>7.0</v>
      </c>
      <c r="C13" s="77" t="s">
        <v>31</v>
      </c>
      <c r="D13" s="72" t="s">
        <v>28</v>
      </c>
      <c r="E13" s="72" t="s">
        <v>28</v>
      </c>
      <c r="F13" s="72" t="s">
        <v>28</v>
      </c>
      <c r="G13" s="79" t="s">
        <v>28</v>
      </c>
      <c r="H13" s="72" t="s">
        <v>28</v>
      </c>
      <c r="I13" s="72" t="s">
        <v>28</v>
      </c>
      <c r="J13" s="72" t="s">
        <v>28</v>
      </c>
      <c r="K13" s="72" t="s">
        <v>28</v>
      </c>
      <c r="L13" s="70">
        <v>154.0</v>
      </c>
      <c r="M13" s="70">
        <v>231.0</v>
      </c>
      <c r="N13" s="70">
        <v>149.0</v>
      </c>
      <c r="O13" s="72" t="s">
        <v>28</v>
      </c>
      <c r="P13" s="72" t="s">
        <v>28</v>
      </c>
      <c r="Q13" s="72" t="s">
        <v>28</v>
      </c>
      <c r="R13" s="72" t="s">
        <v>28</v>
      </c>
      <c r="S13" s="72" t="s">
        <v>28</v>
      </c>
      <c r="T13" s="72" t="s">
        <v>28</v>
      </c>
      <c r="U13" s="72" t="s">
        <v>28</v>
      </c>
      <c r="V13" s="72" t="s">
        <v>28</v>
      </c>
      <c r="W13" s="72" t="s">
        <v>28</v>
      </c>
      <c r="X13" s="72" t="s">
        <v>28</v>
      </c>
      <c r="Y13" s="72" t="s">
        <v>28</v>
      </c>
      <c r="Z13" s="72" t="s">
        <v>28</v>
      </c>
      <c r="AA13" s="72" t="s">
        <v>28</v>
      </c>
      <c r="AB13" s="35">
        <f t="shared" si="4"/>
        <v>178</v>
      </c>
      <c r="AC13" s="35">
        <f t="shared" si="5"/>
        <v>149</v>
      </c>
      <c r="AD13" s="35" t="str">
        <f t="shared" si="6"/>
        <v>&gt;</v>
      </c>
      <c r="AE13" s="35">
        <f t="shared" si="7"/>
        <v>89</v>
      </c>
      <c r="AF13" s="78">
        <v>100.0</v>
      </c>
      <c r="AG13" s="76" t="str">
        <f t="shared" si="8"/>
        <v>SI</v>
      </c>
      <c r="AH13" s="76" t="str">
        <f t="shared" si="9"/>
        <v>SI</v>
      </c>
    </row>
    <row r="14" ht="24.0" customHeight="1">
      <c r="B14" s="73">
        <v>8.0</v>
      </c>
      <c r="C14" s="77" t="s">
        <v>32</v>
      </c>
      <c r="D14" s="72">
        <v>15.51</v>
      </c>
      <c r="E14" s="72">
        <v>5.08</v>
      </c>
      <c r="F14" s="72">
        <v>4.53</v>
      </c>
      <c r="G14" s="69">
        <f t="shared" ref="G14:G29" si="10">+(D14*E14)/(F14*(D14+E14))</f>
        <v>0.8447359195</v>
      </c>
      <c r="H14" s="72">
        <v>1.0</v>
      </c>
      <c r="I14" s="72">
        <v>2.0</v>
      </c>
      <c r="J14" s="72">
        <f t="shared" ref="J14:J29" si="11">+H14+I14</f>
        <v>3</v>
      </c>
      <c r="K14" s="72">
        <f t="shared" ref="K14:K29" si="12">POWER(J14,2)</f>
        <v>9</v>
      </c>
      <c r="L14" s="70">
        <v>312.0</v>
      </c>
      <c r="M14" s="70">
        <v>320.0</v>
      </c>
      <c r="N14" s="70">
        <v>295.0</v>
      </c>
      <c r="O14" s="70">
        <v>264.0</v>
      </c>
      <c r="P14" s="70">
        <v>252.0</v>
      </c>
      <c r="Q14" s="70">
        <v>327.0</v>
      </c>
      <c r="R14" s="70">
        <v>263.0</v>
      </c>
      <c r="S14" s="70">
        <v>272.0</v>
      </c>
      <c r="T14" s="70">
        <v>253.0</v>
      </c>
      <c r="U14" s="72" t="s">
        <v>28</v>
      </c>
      <c r="V14" s="72" t="s">
        <v>28</v>
      </c>
      <c r="W14" s="72" t="s">
        <v>28</v>
      </c>
      <c r="X14" s="72" t="s">
        <v>28</v>
      </c>
      <c r="Y14" s="72" t="s">
        <v>28</v>
      </c>
      <c r="Z14" s="72" t="s">
        <v>28</v>
      </c>
      <c r="AA14" s="72" t="s">
        <v>28</v>
      </c>
      <c r="AB14" s="35">
        <f t="shared" si="4"/>
        <v>284.2222222</v>
      </c>
      <c r="AC14" s="35">
        <f t="shared" si="5"/>
        <v>252</v>
      </c>
      <c r="AD14" s="35" t="str">
        <f t="shared" si="6"/>
        <v>&gt;</v>
      </c>
      <c r="AE14" s="35">
        <f t="shared" si="7"/>
        <v>142.1111111</v>
      </c>
      <c r="AF14" s="78">
        <v>200.0</v>
      </c>
      <c r="AG14" s="76" t="str">
        <f t="shared" si="8"/>
        <v>SI</v>
      </c>
      <c r="AH14" s="76" t="str">
        <f t="shared" si="9"/>
        <v>SI</v>
      </c>
    </row>
    <row r="15" ht="24.0" customHeight="1">
      <c r="B15" s="72">
        <v>9.0</v>
      </c>
      <c r="C15" s="77" t="s">
        <v>33</v>
      </c>
      <c r="D15" s="72">
        <v>10.08</v>
      </c>
      <c r="E15" s="72">
        <v>14.52</v>
      </c>
      <c r="F15" s="72">
        <v>2.94</v>
      </c>
      <c r="G15" s="69">
        <f t="shared" si="10"/>
        <v>2.02369338</v>
      </c>
      <c r="H15" s="72">
        <v>2.0</v>
      </c>
      <c r="I15" s="72">
        <v>2.0</v>
      </c>
      <c r="J15" s="72">
        <f t="shared" si="11"/>
        <v>4</v>
      </c>
      <c r="K15" s="72">
        <f t="shared" si="12"/>
        <v>16</v>
      </c>
      <c r="L15" s="70">
        <v>372.0</v>
      </c>
      <c r="M15" s="70">
        <v>315.0</v>
      </c>
      <c r="N15" s="70">
        <v>310.0</v>
      </c>
      <c r="O15" s="70">
        <v>300.0</v>
      </c>
      <c r="P15" s="70">
        <v>225.0</v>
      </c>
      <c r="Q15" s="70">
        <v>305.0</v>
      </c>
      <c r="R15" s="70">
        <v>331.0</v>
      </c>
      <c r="S15" s="70">
        <v>330.0</v>
      </c>
      <c r="T15" s="70">
        <v>342.0</v>
      </c>
      <c r="U15" s="70">
        <v>303.0</v>
      </c>
      <c r="V15" s="70">
        <v>251.0</v>
      </c>
      <c r="W15" s="70">
        <v>330.0</v>
      </c>
      <c r="X15" s="70">
        <v>291.0</v>
      </c>
      <c r="Y15" s="70">
        <v>307.0</v>
      </c>
      <c r="Z15" s="70">
        <v>364.0</v>
      </c>
      <c r="AA15" s="70">
        <v>314.0</v>
      </c>
      <c r="AB15" s="35">
        <f t="shared" si="4"/>
        <v>311.875</v>
      </c>
      <c r="AC15" s="35">
        <f t="shared" ref="AC15:AC16" si="13">MIN(L15:AA15)</f>
        <v>225</v>
      </c>
      <c r="AD15" s="35" t="str">
        <f t="shared" si="6"/>
        <v>&gt;</v>
      </c>
      <c r="AE15" s="35">
        <f t="shared" si="7"/>
        <v>155.9375</v>
      </c>
      <c r="AF15" s="78">
        <v>300.0</v>
      </c>
      <c r="AG15" s="76" t="str">
        <f t="shared" si="8"/>
        <v>SI</v>
      </c>
      <c r="AH15" s="76" t="str">
        <f t="shared" si="9"/>
        <v>SI</v>
      </c>
    </row>
    <row r="16" ht="24.0" customHeight="1">
      <c r="B16" s="72">
        <v>10.0</v>
      </c>
      <c r="C16" s="77" t="s">
        <v>34</v>
      </c>
      <c r="D16" s="72">
        <v>3.83</v>
      </c>
      <c r="E16" s="72">
        <v>6.2</v>
      </c>
      <c r="F16" s="72">
        <v>2.94</v>
      </c>
      <c r="G16" s="69">
        <f t="shared" si="10"/>
        <v>0.805271261</v>
      </c>
      <c r="H16" s="72">
        <v>1.0</v>
      </c>
      <c r="I16" s="72">
        <v>2.0</v>
      </c>
      <c r="J16" s="72">
        <f t="shared" si="11"/>
        <v>3</v>
      </c>
      <c r="K16" s="72">
        <f t="shared" si="12"/>
        <v>9</v>
      </c>
      <c r="L16" s="70">
        <v>104.0</v>
      </c>
      <c r="M16" s="70">
        <v>173.0</v>
      </c>
      <c r="N16" s="70">
        <v>145.0</v>
      </c>
      <c r="O16" s="70">
        <v>169.0</v>
      </c>
      <c r="P16" s="72" t="s">
        <v>28</v>
      </c>
      <c r="Q16" s="72" t="s">
        <v>28</v>
      </c>
      <c r="R16" s="72" t="s">
        <v>28</v>
      </c>
      <c r="S16" s="72" t="s">
        <v>28</v>
      </c>
      <c r="T16" s="72" t="s">
        <v>28</v>
      </c>
      <c r="U16" s="72" t="s">
        <v>28</v>
      </c>
      <c r="V16" s="72" t="s">
        <v>28</v>
      </c>
      <c r="W16" s="72" t="s">
        <v>28</v>
      </c>
      <c r="X16" s="72" t="s">
        <v>28</v>
      </c>
      <c r="Y16" s="72" t="s">
        <v>28</v>
      </c>
      <c r="Z16" s="72" t="s">
        <v>28</v>
      </c>
      <c r="AA16" s="72" t="s">
        <v>28</v>
      </c>
      <c r="AB16" s="35">
        <f t="shared" si="4"/>
        <v>147.75</v>
      </c>
      <c r="AC16" s="35">
        <f t="shared" si="13"/>
        <v>104</v>
      </c>
      <c r="AD16" s="35" t="str">
        <f t="shared" si="6"/>
        <v>&gt;</v>
      </c>
      <c r="AE16" s="35">
        <f t="shared" si="7"/>
        <v>73.875</v>
      </c>
      <c r="AF16" s="78">
        <v>100.0</v>
      </c>
      <c r="AG16" s="76" t="str">
        <f t="shared" si="8"/>
        <v>SI</v>
      </c>
      <c r="AH16" s="76" t="str">
        <f t="shared" si="9"/>
        <v>SI</v>
      </c>
    </row>
    <row r="17" ht="24.0" customHeight="1">
      <c r="B17" s="73">
        <v>11.0</v>
      </c>
      <c r="C17" s="77" t="s">
        <v>35</v>
      </c>
      <c r="D17" s="72">
        <v>3.83</v>
      </c>
      <c r="E17" s="72">
        <v>4.03</v>
      </c>
      <c r="F17" s="72">
        <v>2.94</v>
      </c>
      <c r="G17" s="69">
        <f t="shared" si="10"/>
        <v>0.6679346039</v>
      </c>
      <c r="H17" s="72">
        <v>1.0</v>
      </c>
      <c r="I17" s="72">
        <v>2.0</v>
      </c>
      <c r="J17" s="72">
        <f t="shared" si="11"/>
        <v>3</v>
      </c>
      <c r="K17" s="72">
        <f t="shared" si="12"/>
        <v>9</v>
      </c>
      <c r="L17" s="70">
        <v>31.0</v>
      </c>
      <c r="M17" s="70">
        <v>32.0</v>
      </c>
      <c r="N17" s="70">
        <v>38.0</v>
      </c>
      <c r="O17" s="70">
        <v>25.0</v>
      </c>
      <c r="P17" s="70">
        <v>31.0</v>
      </c>
      <c r="Q17" s="70">
        <v>32.0</v>
      </c>
      <c r="R17" s="70">
        <v>32.0</v>
      </c>
      <c r="S17" s="70">
        <v>38.0</v>
      </c>
      <c r="T17" s="70">
        <v>41.0</v>
      </c>
      <c r="U17" s="72" t="s">
        <v>28</v>
      </c>
      <c r="V17" s="72" t="s">
        <v>28</v>
      </c>
      <c r="W17" s="72" t="s">
        <v>28</v>
      </c>
      <c r="X17" s="72" t="s">
        <v>28</v>
      </c>
      <c r="Y17" s="72" t="s">
        <v>28</v>
      </c>
      <c r="Z17" s="72" t="s">
        <v>28</v>
      </c>
      <c r="AA17" s="72" t="s">
        <v>28</v>
      </c>
      <c r="AB17" s="35">
        <f t="shared" si="4"/>
        <v>33.33333333</v>
      </c>
      <c r="AC17" s="35">
        <f t="shared" ref="AC17:AC30" si="14">MIN(L17:Z17)</f>
        <v>25</v>
      </c>
      <c r="AD17" s="35" t="str">
        <f t="shared" si="6"/>
        <v>&gt;</v>
      </c>
      <c r="AE17" s="35">
        <f t="shared" si="7"/>
        <v>16.66666667</v>
      </c>
      <c r="AF17" s="78">
        <v>50.0</v>
      </c>
      <c r="AG17" s="76" t="str">
        <f t="shared" si="8"/>
        <v>SI</v>
      </c>
      <c r="AH17" s="76" t="str">
        <f t="shared" si="9"/>
        <v>NO</v>
      </c>
    </row>
    <row r="18" ht="24.0" customHeight="1">
      <c r="B18" s="72">
        <v>12.0</v>
      </c>
      <c r="C18" s="77" t="s">
        <v>36</v>
      </c>
      <c r="D18" s="72">
        <v>2.97</v>
      </c>
      <c r="E18" s="72">
        <v>3.89</v>
      </c>
      <c r="F18" s="72">
        <v>2.94</v>
      </c>
      <c r="G18" s="69">
        <f t="shared" si="10"/>
        <v>0.5728416731</v>
      </c>
      <c r="H18" s="72">
        <v>1.0</v>
      </c>
      <c r="I18" s="72">
        <v>2.0</v>
      </c>
      <c r="J18" s="72">
        <f t="shared" si="11"/>
        <v>3</v>
      </c>
      <c r="K18" s="72">
        <f t="shared" si="12"/>
        <v>9</v>
      </c>
      <c r="L18" s="70">
        <v>143.0</v>
      </c>
      <c r="M18" s="70">
        <v>139.0</v>
      </c>
      <c r="N18" s="70">
        <v>132.0</v>
      </c>
      <c r="O18" s="70">
        <v>159.0</v>
      </c>
      <c r="P18" s="70">
        <v>193.0</v>
      </c>
      <c r="Q18" s="70">
        <v>171.0</v>
      </c>
      <c r="R18" s="70">
        <v>142.0</v>
      </c>
      <c r="S18" s="70">
        <v>153.0</v>
      </c>
      <c r="T18" s="70">
        <v>135.0</v>
      </c>
      <c r="U18" s="72" t="s">
        <v>28</v>
      </c>
      <c r="V18" s="72" t="s">
        <v>28</v>
      </c>
      <c r="W18" s="72" t="s">
        <v>28</v>
      </c>
      <c r="X18" s="72" t="s">
        <v>28</v>
      </c>
      <c r="Y18" s="72" t="s">
        <v>28</v>
      </c>
      <c r="Z18" s="72" t="s">
        <v>28</v>
      </c>
      <c r="AA18" s="72" t="s">
        <v>28</v>
      </c>
      <c r="AB18" s="35">
        <f t="shared" si="4"/>
        <v>151.8888889</v>
      </c>
      <c r="AC18" s="35">
        <f t="shared" si="14"/>
        <v>132</v>
      </c>
      <c r="AD18" s="35" t="str">
        <f t="shared" si="6"/>
        <v>&gt;</v>
      </c>
      <c r="AE18" s="35">
        <f t="shared" si="7"/>
        <v>75.94444444</v>
      </c>
      <c r="AF18" s="78">
        <v>50.0</v>
      </c>
      <c r="AG18" s="76" t="str">
        <f t="shared" si="8"/>
        <v>SI</v>
      </c>
      <c r="AH18" s="76" t="str">
        <f t="shared" si="9"/>
        <v>SI</v>
      </c>
    </row>
    <row r="19" ht="24.0" customHeight="1">
      <c r="B19" s="72">
        <v>13.0</v>
      </c>
      <c r="C19" s="77" t="s">
        <v>37</v>
      </c>
      <c r="D19" s="72">
        <v>2.56</v>
      </c>
      <c r="E19" s="72">
        <v>3.05</v>
      </c>
      <c r="F19" s="72">
        <v>2.94</v>
      </c>
      <c r="G19" s="69">
        <f t="shared" si="10"/>
        <v>0.4734014818</v>
      </c>
      <c r="H19" s="72">
        <v>1.0</v>
      </c>
      <c r="I19" s="72">
        <v>2.0</v>
      </c>
      <c r="J19" s="72">
        <f t="shared" si="11"/>
        <v>3</v>
      </c>
      <c r="K19" s="72">
        <f t="shared" si="12"/>
        <v>9</v>
      </c>
      <c r="L19" s="70">
        <v>391.0</v>
      </c>
      <c r="M19" s="70">
        <v>419.0</v>
      </c>
      <c r="N19" s="70">
        <v>406.0</v>
      </c>
      <c r="O19" s="70">
        <v>407.0</v>
      </c>
      <c r="P19" s="70">
        <v>372.0</v>
      </c>
      <c r="Q19" s="70">
        <v>363.0</v>
      </c>
      <c r="R19" s="70">
        <v>423.0</v>
      </c>
      <c r="S19" s="70">
        <v>350.0</v>
      </c>
      <c r="T19" s="70">
        <v>390.0</v>
      </c>
      <c r="U19" s="72" t="s">
        <v>28</v>
      </c>
      <c r="V19" s="72" t="s">
        <v>28</v>
      </c>
      <c r="W19" s="72" t="s">
        <v>28</v>
      </c>
      <c r="X19" s="72" t="s">
        <v>28</v>
      </c>
      <c r="Y19" s="72" t="s">
        <v>28</v>
      </c>
      <c r="Z19" s="72" t="s">
        <v>28</v>
      </c>
      <c r="AA19" s="72" t="s">
        <v>28</v>
      </c>
      <c r="AB19" s="35">
        <f t="shared" si="4"/>
        <v>391.2222222</v>
      </c>
      <c r="AC19" s="35">
        <f t="shared" si="14"/>
        <v>350</v>
      </c>
      <c r="AD19" s="35" t="str">
        <f t="shared" si="6"/>
        <v>&gt;</v>
      </c>
      <c r="AE19" s="35">
        <f t="shared" si="7"/>
        <v>195.6111111</v>
      </c>
      <c r="AF19" s="78">
        <v>300.0</v>
      </c>
      <c r="AG19" s="76" t="str">
        <f t="shared" si="8"/>
        <v>SI</v>
      </c>
      <c r="AH19" s="76" t="str">
        <f t="shared" si="9"/>
        <v>SI</v>
      </c>
    </row>
    <row r="20" ht="24.0" customHeight="1">
      <c r="B20" s="73">
        <v>14.0</v>
      </c>
      <c r="C20" s="77" t="s">
        <v>38</v>
      </c>
      <c r="D20" s="72">
        <v>4.23</v>
      </c>
      <c r="E20" s="72">
        <v>3.71</v>
      </c>
      <c r="F20" s="72">
        <v>2.94</v>
      </c>
      <c r="G20" s="69">
        <f t="shared" si="10"/>
        <v>0.6722741994</v>
      </c>
      <c r="H20" s="72">
        <v>1.0</v>
      </c>
      <c r="I20" s="72">
        <v>2.0</v>
      </c>
      <c r="J20" s="72">
        <f t="shared" si="11"/>
        <v>3</v>
      </c>
      <c r="K20" s="72">
        <f t="shared" si="12"/>
        <v>9</v>
      </c>
      <c r="L20" s="70">
        <v>210.0</v>
      </c>
      <c r="M20" s="70">
        <v>220.0</v>
      </c>
      <c r="N20" s="70">
        <v>190.0</v>
      </c>
      <c r="O20" s="70">
        <v>293.0</v>
      </c>
      <c r="P20" s="70">
        <v>268.0</v>
      </c>
      <c r="Q20" s="70">
        <v>277.0</v>
      </c>
      <c r="R20" s="70">
        <v>299.0</v>
      </c>
      <c r="S20" s="70">
        <v>288.0</v>
      </c>
      <c r="T20" s="70">
        <v>233.0</v>
      </c>
      <c r="U20" s="72" t="s">
        <v>28</v>
      </c>
      <c r="V20" s="72" t="s">
        <v>28</v>
      </c>
      <c r="W20" s="72" t="s">
        <v>28</v>
      </c>
      <c r="X20" s="72" t="s">
        <v>28</v>
      </c>
      <c r="Y20" s="72" t="s">
        <v>28</v>
      </c>
      <c r="Z20" s="72" t="s">
        <v>28</v>
      </c>
      <c r="AA20" s="72" t="s">
        <v>28</v>
      </c>
      <c r="AB20" s="35">
        <f t="shared" si="4"/>
        <v>253.1111111</v>
      </c>
      <c r="AC20" s="35">
        <f t="shared" si="14"/>
        <v>190</v>
      </c>
      <c r="AD20" s="35" t="str">
        <f t="shared" si="6"/>
        <v>&gt;</v>
      </c>
      <c r="AE20" s="35">
        <f t="shared" si="7"/>
        <v>126.5555556</v>
      </c>
      <c r="AF20" s="78">
        <v>300.0</v>
      </c>
      <c r="AG20" s="76" t="str">
        <f t="shared" si="8"/>
        <v>SI</v>
      </c>
      <c r="AH20" s="76" t="str">
        <f t="shared" si="9"/>
        <v>NO</v>
      </c>
    </row>
    <row r="21" ht="24.0" customHeight="1">
      <c r="B21" s="72">
        <v>15.0</v>
      </c>
      <c r="C21" s="77" t="s">
        <v>39</v>
      </c>
      <c r="D21" s="72">
        <v>5.75</v>
      </c>
      <c r="E21" s="72">
        <v>2.79</v>
      </c>
      <c r="F21" s="72">
        <v>2.94</v>
      </c>
      <c r="G21" s="69">
        <f t="shared" si="10"/>
        <v>0.6389499594</v>
      </c>
      <c r="H21" s="72">
        <v>1.0</v>
      </c>
      <c r="I21" s="72">
        <v>2.0</v>
      </c>
      <c r="J21" s="72">
        <f t="shared" si="11"/>
        <v>3</v>
      </c>
      <c r="K21" s="72">
        <f t="shared" si="12"/>
        <v>9</v>
      </c>
      <c r="L21" s="70">
        <v>331.0</v>
      </c>
      <c r="M21" s="70">
        <v>416.0</v>
      </c>
      <c r="N21" s="70">
        <v>406.0</v>
      </c>
      <c r="O21" s="70">
        <v>345.0</v>
      </c>
      <c r="P21" s="70">
        <v>377.0</v>
      </c>
      <c r="Q21" s="70">
        <v>296.0</v>
      </c>
      <c r="R21" s="70">
        <v>346.0</v>
      </c>
      <c r="S21" s="70">
        <v>387.0</v>
      </c>
      <c r="T21" s="70">
        <v>360.0</v>
      </c>
      <c r="U21" s="72" t="s">
        <v>28</v>
      </c>
      <c r="V21" s="72" t="s">
        <v>28</v>
      </c>
      <c r="W21" s="72" t="s">
        <v>28</v>
      </c>
      <c r="X21" s="72" t="s">
        <v>28</v>
      </c>
      <c r="Y21" s="72" t="s">
        <v>28</v>
      </c>
      <c r="Z21" s="72" t="s">
        <v>28</v>
      </c>
      <c r="AA21" s="72" t="s">
        <v>28</v>
      </c>
      <c r="AB21" s="35">
        <f t="shared" si="4"/>
        <v>362.6666667</v>
      </c>
      <c r="AC21" s="35">
        <f t="shared" si="14"/>
        <v>296</v>
      </c>
      <c r="AD21" s="35" t="str">
        <f t="shared" si="6"/>
        <v>&gt;</v>
      </c>
      <c r="AE21" s="35">
        <f t="shared" si="7"/>
        <v>181.3333333</v>
      </c>
      <c r="AF21" s="78">
        <v>300.0</v>
      </c>
      <c r="AG21" s="76" t="str">
        <f t="shared" si="8"/>
        <v>SI</v>
      </c>
      <c r="AH21" s="76" t="str">
        <f t="shared" si="9"/>
        <v>SI</v>
      </c>
    </row>
    <row r="22" ht="24.0" customHeight="1">
      <c r="B22" s="72">
        <v>16.0</v>
      </c>
      <c r="C22" s="77" t="s">
        <v>40</v>
      </c>
      <c r="D22" s="72">
        <v>3.97</v>
      </c>
      <c r="E22" s="72">
        <v>3.66</v>
      </c>
      <c r="F22" s="72">
        <v>2.94</v>
      </c>
      <c r="G22" s="69">
        <f t="shared" si="10"/>
        <v>0.6477385187</v>
      </c>
      <c r="H22" s="72">
        <v>1.0</v>
      </c>
      <c r="I22" s="72">
        <v>2.0</v>
      </c>
      <c r="J22" s="72">
        <f t="shared" si="11"/>
        <v>3</v>
      </c>
      <c r="K22" s="72">
        <f t="shared" si="12"/>
        <v>9</v>
      </c>
      <c r="L22" s="70">
        <v>186.0</v>
      </c>
      <c r="M22" s="70">
        <v>206.0</v>
      </c>
      <c r="N22" s="70">
        <v>194.0</v>
      </c>
      <c r="O22" s="70">
        <v>287.0</v>
      </c>
      <c r="P22" s="70">
        <v>288.0</v>
      </c>
      <c r="Q22" s="70">
        <v>187.0</v>
      </c>
      <c r="R22" s="70">
        <v>184.0</v>
      </c>
      <c r="S22" s="70">
        <v>190.0</v>
      </c>
      <c r="T22" s="70">
        <v>211.0</v>
      </c>
      <c r="U22" s="72" t="s">
        <v>28</v>
      </c>
      <c r="V22" s="72" t="s">
        <v>28</v>
      </c>
      <c r="W22" s="72" t="s">
        <v>28</v>
      </c>
      <c r="X22" s="72" t="s">
        <v>28</v>
      </c>
      <c r="Y22" s="72" t="s">
        <v>28</v>
      </c>
      <c r="Z22" s="72" t="s">
        <v>28</v>
      </c>
      <c r="AA22" s="72" t="s">
        <v>28</v>
      </c>
      <c r="AB22" s="35">
        <f t="shared" si="4"/>
        <v>214.7777778</v>
      </c>
      <c r="AC22" s="35">
        <f t="shared" si="14"/>
        <v>184</v>
      </c>
      <c r="AD22" s="35" t="str">
        <f t="shared" si="6"/>
        <v>&gt;</v>
      </c>
      <c r="AE22" s="35">
        <f t="shared" si="7"/>
        <v>107.3888889</v>
      </c>
      <c r="AF22" s="78">
        <v>50.0</v>
      </c>
      <c r="AG22" s="76" t="str">
        <f t="shared" si="8"/>
        <v>SI</v>
      </c>
      <c r="AH22" s="76" t="str">
        <f t="shared" si="9"/>
        <v>SI</v>
      </c>
    </row>
    <row r="23" ht="24.0" customHeight="1">
      <c r="B23" s="73">
        <v>17.0</v>
      </c>
      <c r="C23" s="77" t="s">
        <v>90</v>
      </c>
      <c r="D23" s="72">
        <v>7.11</v>
      </c>
      <c r="E23" s="72">
        <v>3.53</v>
      </c>
      <c r="F23" s="72">
        <v>2.94</v>
      </c>
      <c r="G23" s="69">
        <f t="shared" si="10"/>
        <v>0.8023342796</v>
      </c>
      <c r="H23" s="72">
        <v>1.0</v>
      </c>
      <c r="I23" s="72">
        <v>2.0</v>
      </c>
      <c r="J23" s="72">
        <f t="shared" si="11"/>
        <v>3</v>
      </c>
      <c r="K23" s="72">
        <f t="shared" si="12"/>
        <v>9</v>
      </c>
      <c r="L23" s="70">
        <v>96.0</v>
      </c>
      <c r="M23" s="70">
        <v>110.0</v>
      </c>
      <c r="N23" s="70">
        <v>102.0</v>
      </c>
      <c r="O23" s="70">
        <v>132.0</v>
      </c>
      <c r="P23" s="70">
        <v>126.0</v>
      </c>
      <c r="Q23" s="70">
        <v>178.0</v>
      </c>
      <c r="R23" s="70">
        <v>321.0</v>
      </c>
      <c r="S23" s="70">
        <v>227.0</v>
      </c>
      <c r="T23" s="70">
        <v>290.0</v>
      </c>
      <c r="U23" s="72" t="s">
        <v>28</v>
      </c>
      <c r="V23" s="72" t="s">
        <v>28</v>
      </c>
      <c r="W23" s="72" t="s">
        <v>28</v>
      </c>
      <c r="X23" s="72" t="s">
        <v>28</v>
      </c>
      <c r="Y23" s="72" t="s">
        <v>28</v>
      </c>
      <c r="Z23" s="72" t="s">
        <v>28</v>
      </c>
      <c r="AA23" s="72" t="s">
        <v>28</v>
      </c>
      <c r="AB23" s="35">
        <f t="shared" si="4"/>
        <v>175.7777778</v>
      </c>
      <c r="AC23" s="35">
        <f t="shared" si="14"/>
        <v>96</v>
      </c>
      <c r="AD23" s="35" t="str">
        <f t="shared" si="6"/>
        <v>&gt;</v>
      </c>
      <c r="AE23" s="35">
        <f t="shared" si="7"/>
        <v>87.88888889</v>
      </c>
      <c r="AF23" s="78">
        <v>50.0</v>
      </c>
      <c r="AG23" s="76" t="str">
        <f t="shared" si="8"/>
        <v>SI</v>
      </c>
      <c r="AH23" s="76" t="str">
        <f t="shared" si="9"/>
        <v>SI</v>
      </c>
    </row>
    <row r="24" ht="24.0" customHeight="1">
      <c r="B24" s="72">
        <v>18.0</v>
      </c>
      <c r="C24" s="77" t="s">
        <v>42</v>
      </c>
      <c r="D24" s="72">
        <v>4.12</v>
      </c>
      <c r="E24" s="72">
        <v>3.32</v>
      </c>
      <c r="F24" s="72">
        <v>2.94</v>
      </c>
      <c r="G24" s="69">
        <f t="shared" si="10"/>
        <v>0.6253383074</v>
      </c>
      <c r="H24" s="72">
        <v>1.0</v>
      </c>
      <c r="I24" s="72">
        <v>2.0</v>
      </c>
      <c r="J24" s="72">
        <f t="shared" si="11"/>
        <v>3</v>
      </c>
      <c r="K24" s="72">
        <f t="shared" si="12"/>
        <v>9</v>
      </c>
      <c r="L24" s="70">
        <v>32.0</v>
      </c>
      <c r="M24" s="70">
        <v>31.0</v>
      </c>
      <c r="N24" s="70">
        <v>29.0</v>
      </c>
      <c r="O24" s="70">
        <v>22.0</v>
      </c>
      <c r="P24" s="70">
        <v>23.0</v>
      </c>
      <c r="Q24" s="70">
        <v>32.0</v>
      </c>
      <c r="R24" s="70">
        <v>37.0</v>
      </c>
      <c r="S24" s="70">
        <v>36.0</v>
      </c>
      <c r="T24" s="70">
        <v>51.0</v>
      </c>
      <c r="U24" s="72" t="s">
        <v>28</v>
      </c>
      <c r="V24" s="72" t="s">
        <v>28</v>
      </c>
      <c r="W24" s="72" t="s">
        <v>28</v>
      </c>
      <c r="X24" s="72" t="s">
        <v>28</v>
      </c>
      <c r="Y24" s="72" t="s">
        <v>28</v>
      </c>
      <c r="Z24" s="72" t="s">
        <v>28</v>
      </c>
      <c r="AA24" s="72" t="s">
        <v>28</v>
      </c>
      <c r="AB24" s="35">
        <f t="shared" si="4"/>
        <v>32.55555556</v>
      </c>
      <c r="AC24" s="35">
        <f t="shared" si="14"/>
        <v>22</v>
      </c>
      <c r="AD24" s="35" t="str">
        <f t="shared" si="6"/>
        <v>&gt;</v>
      </c>
      <c r="AE24" s="35">
        <f t="shared" si="7"/>
        <v>16.27777778</v>
      </c>
      <c r="AF24" s="78">
        <v>50.0</v>
      </c>
      <c r="AG24" s="76" t="str">
        <f t="shared" si="8"/>
        <v>SI</v>
      </c>
      <c r="AH24" s="76" t="str">
        <f t="shared" si="9"/>
        <v>NO</v>
      </c>
    </row>
    <row r="25" ht="24.0" customHeight="1">
      <c r="B25" s="72">
        <v>19.0</v>
      </c>
      <c r="C25" s="77" t="s">
        <v>43</v>
      </c>
      <c r="D25" s="72">
        <v>3.1</v>
      </c>
      <c r="E25" s="72">
        <v>9.06</v>
      </c>
      <c r="F25" s="72">
        <v>2.94</v>
      </c>
      <c r="G25" s="69">
        <f t="shared" si="10"/>
        <v>0.7856135875</v>
      </c>
      <c r="H25" s="72">
        <v>1.0</v>
      </c>
      <c r="I25" s="72">
        <v>2.0</v>
      </c>
      <c r="J25" s="72">
        <f t="shared" si="11"/>
        <v>3</v>
      </c>
      <c r="K25" s="72">
        <f t="shared" si="12"/>
        <v>9</v>
      </c>
      <c r="L25" s="70">
        <v>58.0</v>
      </c>
      <c r="M25" s="70">
        <v>61.0</v>
      </c>
      <c r="N25" s="70">
        <v>64.0</v>
      </c>
      <c r="O25" s="70">
        <v>61.0</v>
      </c>
      <c r="P25" s="70">
        <v>69.0</v>
      </c>
      <c r="Q25" s="70">
        <v>52.0</v>
      </c>
      <c r="R25" s="70">
        <v>45.0</v>
      </c>
      <c r="S25" s="70">
        <v>43.0</v>
      </c>
      <c r="T25" s="70">
        <v>68.0</v>
      </c>
      <c r="U25" s="72" t="s">
        <v>28</v>
      </c>
      <c r="V25" s="72" t="s">
        <v>28</v>
      </c>
      <c r="W25" s="72" t="s">
        <v>28</v>
      </c>
      <c r="X25" s="72" t="s">
        <v>28</v>
      </c>
      <c r="Y25" s="72" t="s">
        <v>28</v>
      </c>
      <c r="Z25" s="72" t="s">
        <v>28</v>
      </c>
      <c r="AA25" s="72" t="s">
        <v>28</v>
      </c>
      <c r="AB25" s="35">
        <f t="shared" si="4"/>
        <v>57.88888889</v>
      </c>
      <c r="AC25" s="35">
        <f t="shared" si="14"/>
        <v>43</v>
      </c>
      <c r="AD25" s="35" t="str">
        <f t="shared" si="6"/>
        <v>&gt;</v>
      </c>
      <c r="AE25" s="35">
        <f t="shared" si="7"/>
        <v>28.94444444</v>
      </c>
      <c r="AF25" s="78">
        <v>50.0</v>
      </c>
      <c r="AG25" s="76" t="str">
        <f t="shared" si="8"/>
        <v>SI</v>
      </c>
      <c r="AH25" s="76" t="str">
        <f t="shared" si="9"/>
        <v>SI</v>
      </c>
    </row>
    <row r="26" ht="24.0" customHeight="1">
      <c r="B26" s="73">
        <v>20.0</v>
      </c>
      <c r="C26" s="77" t="s">
        <v>44</v>
      </c>
      <c r="D26" s="72">
        <v>3.03</v>
      </c>
      <c r="E26" s="72">
        <v>20.87</v>
      </c>
      <c r="F26" s="72">
        <v>2.94</v>
      </c>
      <c r="G26" s="69">
        <f t="shared" si="10"/>
        <v>0.8999530356</v>
      </c>
      <c r="H26" s="72">
        <v>1.0</v>
      </c>
      <c r="I26" s="72">
        <v>2.0</v>
      </c>
      <c r="J26" s="72">
        <f t="shared" si="11"/>
        <v>3</v>
      </c>
      <c r="K26" s="72">
        <f t="shared" si="12"/>
        <v>9</v>
      </c>
      <c r="L26" s="70">
        <v>388.0</v>
      </c>
      <c r="M26" s="70">
        <v>412.0</v>
      </c>
      <c r="N26" s="70">
        <v>70.0</v>
      </c>
      <c r="O26" s="70">
        <v>35.0</v>
      </c>
      <c r="P26" s="70">
        <v>72.0</v>
      </c>
      <c r="Q26" s="70">
        <v>458.0</v>
      </c>
      <c r="R26" s="70">
        <v>238.0</v>
      </c>
      <c r="S26" s="70">
        <v>362.0</v>
      </c>
      <c r="T26" s="70">
        <v>335.0</v>
      </c>
      <c r="U26" s="72" t="s">
        <v>28</v>
      </c>
      <c r="V26" s="72" t="s">
        <v>28</v>
      </c>
      <c r="W26" s="72" t="s">
        <v>28</v>
      </c>
      <c r="X26" s="72" t="s">
        <v>28</v>
      </c>
      <c r="Y26" s="72" t="s">
        <v>28</v>
      </c>
      <c r="Z26" s="72" t="s">
        <v>28</v>
      </c>
      <c r="AA26" s="72" t="s">
        <v>28</v>
      </c>
      <c r="AB26" s="35">
        <f t="shared" si="4"/>
        <v>263.3333333</v>
      </c>
      <c r="AC26" s="35">
        <f t="shared" si="14"/>
        <v>35</v>
      </c>
      <c r="AD26" s="35" t="str">
        <f t="shared" si="6"/>
        <v>&lt;</v>
      </c>
      <c r="AE26" s="35">
        <f t="shared" si="7"/>
        <v>131.6666667</v>
      </c>
      <c r="AF26" s="78">
        <v>50.0</v>
      </c>
      <c r="AG26" s="76" t="str">
        <f t="shared" si="8"/>
        <v>NO</v>
      </c>
      <c r="AH26" s="76" t="str">
        <f t="shared" si="9"/>
        <v>SI</v>
      </c>
    </row>
    <row r="27" ht="24.0" customHeight="1">
      <c r="B27" s="72">
        <v>21.0</v>
      </c>
      <c r="C27" s="77" t="s">
        <v>45</v>
      </c>
      <c r="D27" s="72">
        <v>4.22</v>
      </c>
      <c r="E27" s="72">
        <v>5.55</v>
      </c>
      <c r="F27" s="72">
        <v>2.94</v>
      </c>
      <c r="G27" s="69">
        <f t="shared" si="10"/>
        <v>0.8153865436</v>
      </c>
      <c r="H27" s="72">
        <v>1.0</v>
      </c>
      <c r="I27" s="72">
        <v>2.0</v>
      </c>
      <c r="J27" s="72">
        <f t="shared" si="11"/>
        <v>3</v>
      </c>
      <c r="K27" s="72">
        <f t="shared" si="12"/>
        <v>9</v>
      </c>
      <c r="L27" s="70">
        <v>279.0</v>
      </c>
      <c r="M27" s="70">
        <v>338.0</v>
      </c>
      <c r="N27" s="70">
        <v>272.0</v>
      </c>
      <c r="O27" s="70">
        <v>335.0</v>
      </c>
      <c r="P27" s="70">
        <v>318.0</v>
      </c>
      <c r="Q27" s="70">
        <v>267.0</v>
      </c>
      <c r="R27" s="70">
        <v>283.0</v>
      </c>
      <c r="S27" s="70">
        <v>315.0</v>
      </c>
      <c r="T27" s="70">
        <v>285.0</v>
      </c>
      <c r="U27" s="72" t="s">
        <v>28</v>
      </c>
      <c r="V27" s="72" t="s">
        <v>28</v>
      </c>
      <c r="W27" s="72" t="s">
        <v>28</v>
      </c>
      <c r="X27" s="72" t="s">
        <v>28</v>
      </c>
      <c r="Y27" s="72" t="s">
        <v>28</v>
      </c>
      <c r="Z27" s="72" t="s">
        <v>28</v>
      </c>
      <c r="AA27" s="72" t="s">
        <v>28</v>
      </c>
      <c r="AB27" s="35">
        <f t="shared" si="4"/>
        <v>299.1111111</v>
      </c>
      <c r="AC27" s="35">
        <f t="shared" si="14"/>
        <v>267</v>
      </c>
      <c r="AD27" s="35" t="str">
        <f t="shared" si="6"/>
        <v>&gt;</v>
      </c>
      <c r="AE27" s="35">
        <f t="shared" si="7"/>
        <v>149.5555556</v>
      </c>
      <c r="AF27" s="78">
        <v>50.0</v>
      </c>
      <c r="AG27" s="76" t="str">
        <f t="shared" si="8"/>
        <v>SI</v>
      </c>
      <c r="AH27" s="76" t="str">
        <f t="shared" si="9"/>
        <v>SI</v>
      </c>
    </row>
    <row r="28" ht="24.0" customHeight="1">
      <c r="B28" s="72">
        <v>22.0</v>
      </c>
      <c r="C28" s="77" t="s">
        <v>46</v>
      </c>
      <c r="D28" s="72">
        <v>4.98</v>
      </c>
      <c r="E28" s="72">
        <v>8.2</v>
      </c>
      <c r="F28" s="72">
        <v>2.94</v>
      </c>
      <c r="G28" s="69">
        <f t="shared" si="10"/>
        <v>1.053854015</v>
      </c>
      <c r="H28" s="72">
        <v>1.0</v>
      </c>
      <c r="I28" s="72">
        <v>2.0</v>
      </c>
      <c r="J28" s="72">
        <f t="shared" si="11"/>
        <v>3</v>
      </c>
      <c r="K28" s="72">
        <f t="shared" si="12"/>
        <v>9</v>
      </c>
      <c r="L28" s="70">
        <v>577.0</v>
      </c>
      <c r="M28" s="70">
        <v>528.0</v>
      </c>
      <c r="N28" s="70">
        <v>454.0</v>
      </c>
      <c r="O28" s="70">
        <v>462.0</v>
      </c>
      <c r="P28" s="70">
        <v>385.0</v>
      </c>
      <c r="Q28" s="70">
        <v>440.0</v>
      </c>
      <c r="R28" s="70">
        <v>509.0</v>
      </c>
      <c r="S28" s="70">
        <v>521.0</v>
      </c>
      <c r="T28" s="70">
        <v>517.0</v>
      </c>
      <c r="U28" s="72" t="s">
        <v>28</v>
      </c>
      <c r="V28" s="72" t="s">
        <v>28</v>
      </c>
      <c r="W28" s="72" t="s">
        <v>28</v>
      </c>
      <c r="X28" s="72" t="s">
        <v>28</v>
      </c>
      <c r="Y28" s="72" t="s">
        <v>28</v>
      </c>
      <c r="Z28" s="72" t="s">
        <v>28</v>
      </c>
      <c r="AA28" s="72" t="s">
        <v>28</v>
      </c>
      <c r="AB28" s="35">
        <f t="shared" si="4"/>
        <v>488.1111111</v>
      </c>
      <c r="AC28" s="35">
        <f t="shared" si="14"/>
        <v>385</v>
      </c>
      <c r="AD28" s="35" t="str">
        <f t="shared" si="6"/>
        <v>&gt;</v>
      </c>
      <c r="AE28" s="35">
        <f t="shared" si="7"/>
        <v>244.0555556</v>
      </c>
      <c r="AF28" s="78">
        <v>300.0</v>
      </c>
      <c r="AG28" s="76" t="str">
        <f t="shared" si="8"/>
        <v>SI</v>
      </c>
      <c r="AH28" s="76" t="str">
        <f t="shared" si="9"/>
        <v>SI</v>
      </c>
    </row>
    <row r="29" ht="24.0" hidden="1" customHeight="1">
      <c r="B29" s="73">
        <v>23.0</v>
      </c>
      <c r="C29" s="77" t="s">
        <v>97</v>
      </c>
      <c r="D29" s="72">
        <v>3.92</v>
      </c>
      <c r="E29" s="72">
        <v>1.7</v>
      </c>
      <c r="F29" s="72">
        <v>2.85</v>
      </c>
      <c r="G29" s="69">
        <f t="shared" si="10"/>
        <v>0.4160579384</v>
      </c>
      <c r="H29" s="72">
        <v>1.0</v>
      </c>
      <c r="I29" s="72">
        <v>2.0</v>
      </c>
      <c r="J29" s="72">
        <f t="shared" si="11"/>
        <v>3</v>
      </c>
      <c r="K29" s="72">
        <f t="shared" si="12"/>
        <v>9</v>
      </c>
      <c r="L29" s="70"/>
      <c r="M29" s="70"/>
      <c r="N29" s="70"/>
      <c r="O29" s="70"/>
      <c r="P29" s="70"/>
      <c r="Q29" s="70"/>
      <c r="R29" s="70"/>
      <c r="S29" s="70"/>
      <c r="T29" s="70"/>
      <c r="U29" s="72" t="s">
        <v>28</v>
      </c>
      <c r="V29" s="72" t="s">
        <v>28</v>
      </c>
      <c r="W29" s="72" t="s">
        <v>28</v>
      </c>
      <c r="X29" s="72" t="s">
        <v>28</v>
      </c>
      <c r="Y29" s="72" t="s">
        <v>28</v>
      </c>
      <c r="Z29" s="72" t="s">
        <v>28</v>
      </c>
      <c r="AA29" s="72" t="s">
        <v>28</v>
      </c>
      <c r="AB29" s="35" t="str">
        <f t="shared" si="4"/>
        <v>#DIV/0!</v>
      </c>
      <c r="AC29" s="35">
        <f t="shared" si="14"/>
        <v>0</v>
      </c>
      <c r="AD29" s="35" t="str">
        <f t="shared" si="6"/>
        <v>#DIV/0!</v>
      </c>
      <c r="AE29" s="35" t="str">
        <f t="shared" si="7"/>
        <v>#DIV/0!</v>
      </c>
      <c r="AF29" s="78">
        <v>300.0</v>
      </c>
      <c r="AG29" s="76" t="str">
        <f t="shared" si="8"/>
        <v>#DIV/0!</v>
      </c>
      <c r="AH29" s="76" t="str">
        <f t="shared" si="9"/>
        <v>#DIV/0!</v>
      </c>
    </row>
    <row r="30" ht="24.0" customHeight="1">
      <c r="B30" s="72">
        <v>24.0</v>
      </c>
      <c r="C30" s="77" t="s">
        <v>47</v>
      </c>
      <c r="D30" s="72" t="s">
        <v>28</v>
      </c>
      <c r="E30" s="72" t="s">
        <v>28</v>
      </c>
      <c r="F30" s="72" t="s">
        <v>28</v>
      </c>
      <c r="G30" s="79" t="s">
        <v>28</v>
      </c>
      <c r="H30" s="72" t="s">
        <v>28</v>
      </c>
      <c r="I30" s="72" t="s">
        <v>28</v>
      </c>
      <c r="J30" s="72" t="s">
        <v>28</v>
      </c>
      <c r="K30" s="72" t="s">
        <v>28</v>
      </c>
      <c r="L30" s="70">
        <v>168.0</v>
      </c>
      <c r="M30" s="70">
        <v>197.0</v>
      </c>
      <c r="N30" s="70">
        <v>177.0</v>
      </c>
      <c r="O30" s="72" t="s">
        <v>28</v>
      </c>
      <c r="P30" s="72" t="s">
        <v>28</v>
      </c>
      <c r="Q30" s="72" t="s">
        <v>28</v>
      </c>
      <c r="R30" s="72" t="s">
        <v>28</v>
      </c>
      <c r="S30" s="72" t="s">
        <v>28</v>
      </c>
      <c r="T30" s="72" t="s">
        <v>28</v>
      </c>
      <c r="U30" s="72" t="s">
        <v>28</v>
      </c>
      <c r="V30" s="72" t="s">
        <v>28</v>
      </c>
      <c r="W30" s="72" t="s">
        <v>28</v>
      </c>
      <c r="X30" s="72" t="s">
        <v>28</v>
      </c>
      <c r="Y30" s="72" t="s">
        <v>28</v>
      </c>
      <c r="Z30" s="72" t="s">
        <v>28</v>
      </c>
      <c r="AA30" s="72" t="s">
        <v>28</v>
      </c>
      <c r="AB30" s="35">
        <f t="shared" si="4"/>
        <v>180.6666667</v>
      </c>
      <c r="AC30" s="35">
        <f t="shared" si="14"/>
        <v>168</v>
      </c>
      <c r="AD30" s="35" t="str">
        <f t="shared" si="6"/>
        <v>&gt;</v>
      </c>
      <c r="AE30" s="35">
        <f t="shared" si="7"/>
        <v>90.33333333</v>
      </c>
      <c r="AF30" s="78">
        <v>300.0</v>
      </c>
      <c r="AG30" s="76" t="str">
        <f t="shared" si="8"/>
        <v>SI</v>
      </c>
      <c r="AH30" s="76" t="str">
        <f t="shared" si="9"/>
        <v>NO</v>
      </c>
    </row>
    <row r="31" ht="24.0" customHeight="1">
      <c r="B31" s="80" t="s">
        <v>87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0"/>
    </row>
    <row r="32" ht="24.0" customHeight="1">
      <c r="B32" s="11" t="s">
        <v>94</v>
      </c>
      <c r="C32" s="11" t="s">
        <v>4</v>
      </c>
      <c r="D32" s="62" t="s">
        <v>5</v>
      </c>
      <c r="E32" s="8"/>
      <c r="F32" s="9"/>
      <c r="G32" s="11" t="s">
        <v>6</v>
      </c>
      <c r="H32" s="11" t="s">
        <v>7</v>
      </c>
      <c r="I32" s="11" t="s">
        <v>8</v>
      </c>
      <c r="J32" s="11" t="s">
        <v>9</v>
      </c>
      <c r="K32" s="11" t="s">
        <v>10</v>
      </c>
      <c r="L32" s="62" t="s">
        <v>11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63"/>
      <c r="AB32" s="11" t="s">
        <v>15</v>
      </c>
      <c r="AC32" s="64" t="s">
        <v>14</v>
      </c>
      <c r="AD32" s="13"/>
      <c r="AE32" s="14"/>
      <c r="AF32" s="11" t="s">
        <v>16</v>
      </c>
      <c r="AG32" s="11" t="s">
        <v>17</v>
      </c>
      <c r="AH32" s="11" t="s">
        <v>18</v>
      </c>
    </row>
    <row r="33" ht="24.0" customHeight="1">
      <c r="B33" s="15"/>
      <c r="C33" s="15"/>
      <c r="D33" s="65" t="s">
        <v>21</v>
      </c>
      <c r="E33" s="65" t="s">
        <v>22</v>
      </c>
      <c r="F33" s="65" t="s">
        <v>23</v>
      </c>
      <c r="G33" s="15"/>
      <c r="H33" s="15"/>
      <c r="I33" s="15"/>
      <c r="J33" s="15"/>
      <c r="K33" s="15"/>
      <c r="L33" s="66">
        <v>1.0</v>
      </c>
      <c r="M33" s="66">
        <v>2.0</v>
      </c>
      <c r="N33" s="66">
        <v>3.0</v>
      </c>
      <c r="O33" s="66">
        <v>4.0</v>
      </c>
      <c r="P33" s="66">
        <v>5.0</v>
      </c>
      <c r="Q33" s="66">
        <v>6.0</v>
      </c>
      <c r="R33" s="66">
        <v>7.0</v>
      </c>
      <c r="S33" s="66">
        <v>8.0</v>
      </c>
      <c r="T33" s="66">
        <v>9.0</v>
      </c>
      <c r="U33" s="66">
        <v>10.0</v>
      </c>
      <c r="V33" s="66">
        <v>11.0</v>
      </c>
      <c r="W33" s="66">
        <v>12.0</v>
      </c>
      <c r="X33" s="66">
        <v>13.0</v>
      </c>
      <c r="Y33" s="66">
        <v>14.0</v>
      </c>
      <c r="Z33" s="66">
        <v>15.0</v>
      </c>
      <c r="AA33" s="66">
        <v>16.0</v>
      </c>
      <c r="AB33" s="15"/>
      <c r="AC33" s="18"/>
      <c r="AD33" s="19"/>
      <c r="AE33" s="20"/>
      <c r="AF33" s="15"/>
      <c r="AG33" s="15"/>
      <c r="AH33" s="15"/>
    </row>
    <row r="34" ht="24.0" customHeight="1">
      <c r="B34" s="72">
        <v>25.0</v>
      </c>
      <c r="C34" s="77" t="s">
        <v>48</v>
      </c>
      <c r="D34" s="72" t="s">
        <v>28</v>
      </c>
      <c r="E34" s="72" t="s">
        <v>28</v>
      </c>
      <c r="F34" s="72" t="s">
        <v>28</v>
      </c>
      <c r="G34" s="72" t="s">
        <v>28</v>
      </c>
      <c r="H34" s="72" t="s">
        <v>28</v>
      </c>
      <c r="I34" s="72" t="s">
        <v>28</v>
      </c>
      <c r="J34" s="72" t="s">
        <v>28</v>
      </c>
      <c r="K34" s="72" t="s">
        <v>28</v>
      </c>
      <c r="L34" s="70">
        <v>167.0</v>
      </c>
      <c r="M34" s="70">
        <v>195.0</v>
      </c>
      <c r="N34" s="70">
        <v>123.0</v>
      </c>
      <c r="O34" s="72" t="s">
        <v>28</v>
      </c>
      <c r="P34" s="72" t="s">
        <v>28</v>
      </c>
      <c r="Q34" s="72" t="s">
        <v>28</v>
      </c>
      <c r="R34" s="72" t="s">
        <v>28</v>
      </c>
      <c r="S34" s="72" t="s">
        <v>28</v>
      </c>
      <c r="T34" s="72" t="s">
        <v>28</v>
      </c>
      <c r="U34" s="72" t="s">
        <v>28</v>
      </c>
      <c r="V34" s="72" t="s">
        <v>28</v>
      </c>
      <c r="W34" s="72" t="s">
        <v>28</v>
      </c>
      <c r="X34" s="72" t="s">
        <v>28</v>
      </c>
      <c r="Y34" s="72" t="s">
        <v>28</v>
      </c>
      <c r="Z34" s="72" t="s">
        <v>28</v>
      </c>
      <c r="AA34" s="72" t="s">
        <v>28</v>
      </c>
      <c r="AB34" s="35">
        <f t="shared" ref="AB34:AB64" si="15">AVERAGE(L34:AA34)</f>
        <v>161.6666667</v>
      </c>
      <c r="AC34" s="35">
        <f t="shared" ref="AC34:AC64" si="16">MIN(L34:Z34)</f>
        <v>123</v>
      </c>
      <c r="AD34" s="35" t="str">
        <f t="shared" ref="AD34:AD64" si="17">IF(AC34&gt;AE34,"&gt;","&lt;")</f>
        <v>&gt;</v>
      </c>
      <c r="AE34" s="35">
        <f t="shared" ref="AE34:AE64" si="18">+AB34/2</f>
        <v>80.83333333</v>
      </c>
      <c r="AF34" s="78">
        <v>100.0</v>
      </c>
      <c r="AG34" s="76" t="str">
        <f t="shared" ref="AG34:AG64" si="19">IF(AC34&gt;AE34,"SI","NO")</f>
        <v>SI</v>
      </c>
      <c r="AH34" s="76" t="str">
        <f t="shared" ref="AH34:AH64" si="20">IF(AB34&gt;AF34,"SI","NO")</f>
        <v>SI</v>
      </c>
    </row>
    <row r="35" ht="24.0" customHeight="1">
      <c r="B35" s="72">
        <v>26.0</v>
      </c>
      <c r="C35" s="77" t="s">
        <v>49</v>
      </c>
      <c r="D35" s="72" t="s">
        <v>28</v>
      </c>
      <c r="E35" s="72" t="s">
        <v>28</v>
      </c>
      <c r="F35" s="72" t="s">
        <v>28</v>
      </c>
      <c r="G35" s="72" t="s">
        <v>28</v>
      </c>
      <c r="H35" s="72" t="s">
        <v>28</v>
      </c>
      <c r="I35" s="72" t="s">
        <v>28</v>
      </c>
      <c r="J35" s="72" t="s">
        <v>28</v>
      </c>
      <c r="K35" s="72" t="s">
        <v>28</v>
      </c>
      <c r="L35" s="70">
        <v>200.0</v>
      </c>
      <c r="M35" s="70">
        <v>188.0</v>
      </c>
      <c r="N35" s="70">
        <v>165.0</v>
      </c>
      <c r="O35" s="72" t="s">
        <v>28</v>
      </c>
      <c r="P35" s="72" t="s">
        <v>28</v>
      </c>
      <c r="Q35" s="72" t="s">
        <v>28</v>
      </c>
      <c r="R35" s="72" t="s">
        <v>28</v>
      </c>
      <c r="S35" s="72" t="s">
        <v>28</v>
      </c>
      <c r="T35" s="72" t="s">
        <v>28</v>
      </c>
      <c r="U35" s="72" t="s">
        <v>28</v>
      </c>
      <c r="V35" s="72" t="s">
        <v>28</v>
      </c>
      <c r="W35" s="72" t="s">
        <v>28</v>
      </c>
      <c r="X35" s="72" t="s">
        <v>28</v>
      </c>
      <c r="Y35" s="72" t="s">
        <v>28</v>
      </c>
      <c r="Z35" s="72" t="s">
        <v>28</v>
      </c>
      <c r="AA35" s="72" t="s">
        <v>28</v>
      </c>
      <c r="AB35" s="35">
        <f t="shared" si="15"/>
        <v>184.3333333</v>
      </c>
      <c r="AC35" s="35">
        <f t="shared" si="16"/>
        <v>165</v>
      </c>
      <c r="AD35" s="35" t="str">
        <f t="shared" si="17"/>
        <v>&gt;</v>
      </c>
      <c r="AE35" s="35">
        <f t="shared" si="18"/>
        <v>92.16666667</v>
      </c>
      <c r="AF35" s="78">
        <v>100.0</v>
      </c>
      <c r="AG35" s="76" t="str">
        <f t="shared" si="19"/>
        <v>SI</v>
      </c>
      <c r="AH35" s="76" t="str">
        <f t="shared" si="20"/>
        <v>SI</v>
      </c>
    </row>
    <row r="36" ht="24.0" customHeight="1">
      <c r="B36" s="73">
        <v>27.0</v>
      </c>
      <c r="C36" s="81" t="s">
        <v>50</v>
      </c>
      <c r="D36" s="72" t="s">
        <v>28</v>
      </c>
      <c r="E36" s="72" t="s">
        <v>28</v>
      </c>
      <c r="F36" s="72" t="s">
        <v>28</v>
      </c>
      <c r="G36" s="72" t="s">
        <v>28</v>
      </c>
      <c r="H36" s="72" t="s">
        <v>28</v>
      </c>
      <c r="I36" s="72" t="s">
        <v>28</v>
      </c>
      <c r="J36" s="72" t="s">
        <v>28</v>
      </c>
      <c r="K36" s="72" t="s">
        <v>28</v>
      </c>
      <c r="L36" s="70">
        <v>124.0</v>
      </c>
      <c r="M36" s="70">
        <v>195.0</v>
      </c>
      <c r="N36" s="70">
        <v>220.0</v>
      </c>
      <c r="O36" s="72" t="s">
        <v>28</v>
      </c>
      <c r="P36" s="72" t="s">
        <v>28</v>
      </c>
      <c r="Q36" s="72" t="s">
        <v>28</v>
      </c>
      <c r="R36" s="72" t="s">
        <v>28</v>
      </c>
      <c r="S36" s="72" t="s">
        <v>28</v>
      </c>
      <c r="T36" s="72" t="s">
        <v>28</v>
      </c>
      <c r="U36" s="72" t="s">
        <v>28</v>
      </c>
      <c r="V36" s="72" t="s">
        <v>28</v>
      </c>
      <c r="W36" s="72" t="s">
        <v>28</v>
      </c>
      <c r="X36" s="72" t="s">
        <v>28</v>
      </c>
      <c r="Y36" s="72" t="s">
        <v>28</v>
      </c>
      <c r="Z36" s="72" t="s">
        <v>28</v>
      </c>
      <c r="AA36" s="72" t="s">
        <v>28</v>
      </c>
      <c r="AB36" s="35">
        <f t="shared" si="15"/>
        <v>179.6666667</v>
      </c>
      <c r="AC36" s="35">
        <f t="shared" si="16"/>
        <v>124</v>
      </c>
      <c r="AD36" s="35" t="str">
        <f t="shared" si="17"/>
        <v>&gt;</v>
      </c>
      <c r="AE36" s="35">
        <f t="shared" si="18"/>
        <v>89.83333333</v>
      </c>
      <c r="AF36" s="78">
        <v>100.0</v>
      </c>
      <c r="AG36" s="76" t="str">
        <f t="shared" si="19"/>
        <v>SI</v>
      </c>
      <c r="AH36" s="76" t="str">
        <f t="shared" si="20"/>
        <v>SI</v>
      </c>
    </row>
    <row r="37" ht="24.0" customHeight="1">
      <c r="B37" s="72">
        <v>28.0</v>
      </c>
      <c r="C37" s="81" t="s">
        <v>51</v>
      </c>
      <c r="D37" s="72" t="s">
        <v>28</v>
      </c>
      <c r="E37" s="72" t="s">
        <v>28</v>
      </c>
      <c r="F37" s="72" t="s">
        <v>28</v>
      </c>
      <c r="G37" s="72" t="s">
        <v>28</v>
      </c>
      <c r="H37" s="72" t="s">
        <v>28</v>
      </c>
      <c r="I37" s="72" t="s">
        <v>28</v>
      </c>
      <c r="J37" s="72" t="s">
        <v>28</v>
      </c>
      <c r="K37" s="72" t="s">
        <v>28</v>
      </c>
      <c r="L37" s="70">
        <v>958.0</v>
      </c>
      <c r="M37" s="70">
        <v>939.0</v>
      </c>
      <c r="N37" s="72" t="s">
        <v>28</v>
      </c>
      <c r="O37" s="72" t="s">
        <v>28</v>
      </c>
      <c r="P37" s="72" t="s">
        <v>28</v>
      </c>
      <c r="Q37" s="72" t="s">
        <v>28</v>
      </c>
      <c r="R37" s="72" t="s">
        <v>28</v>
      </c>
      <c r="S37" s="72" t="s">
        <v>28</v>
      </c>
      <c r="T37" s="72" t="s">
        <v>28</v>
      </c>
      <c r="U37" s="72" t="s">
        <v>28</v>
      </c>
      <c r="V37" s="72" t="s">
        <v>28</v>
      </c>
      <c r="W37" s="72" t="s">
        <v>28</v>
      </c>
      <c r="X37" s="72" t="s">
        <v>28</v>
      </c>
      <c r="Y37" s="72" t="s">
        <v>28</v>
      </c>
      <c r="Z37" s="72" t="s">
        <v>28</v>
      </c>
      <c r="AA37" s="72" t="s">
        <v>28</v>
      </c>
      <c r="AB37" s="35">
        <f t="shared" si="15"/>
        <v>948.5</v>
      </c>
      <c r="AC37" s="35">
        <f t="shared" si="16"/>
        <v>939</v>
      </c>
      <c r="AD37" s="35" t="str">
        <f t="shared" si="17"/>
        <v>&gt;</v>
      </c>
      <c r="AE37" s="35">
        <f t="shared" si="18"/>
        <v>474.25</v>
      </c>
      <c r="AF37" s="78">
        <v>100.0</v>
      </c>
      <c r="AG37" s="76" t="str">
        <f t="shared" si="19"/>
        <v>SI</v>
      </c>
      <c r="AH37" s="76" t="str">
        <f t="shared" si="20"/>
        <v>SI</v>
      </c>
    </row>
    <row r="38" ht="24.0" customHeight="1">
      <c r="B38" s="72">
        <v>29.0</v>
      </c>
      <c r="C38" s="77" t="s">
        <v>52</v>
      </c>
      <c r="D38" s="72" t="s">
        <v>28</v>
      </c>
      <c r="E38" s="72" t="s">
        <v>28</v>
      </c>
      <c r="F38" s="72" t="s">
        <v>28</v>
      </c>
      <c r="G38" s="72" t="s">
        <v>28</v>
      </c>
      <c r="H38" s="72" t="s">
        <v>28</v>
      </c>
      <c r="I38" s="72" t="s">
        <v>28</v>
      </c>
      <c r="J38" s="72" t="s">
        <v>28</v>
      </c>
      <c r="K38" s="72" t="s">
        <v>28</v>
      </c>
      <c r="L38" s="70">
        <v>269.0</v>
      </c>
      <c r="M38" s="70">
        <v>821.0</v>
      </c>
      <c r="N38" s="72" t="s">
        <v>28</v>
      </c>
      <c r="O38" s="72" t="s">
        <v>28</v>
      </c>
      <c r="P38" s="72" t="s">
        <v>28</v>
      </c>
      <c r="Q38" s="72" t="s">
        <v>28</v>
      </c>
      <c r="R38" s="72" t="s">
        <v>28</v>
      </c>
      <c r="S38" s="72" t="s">
        <v>28</v>
      </c>
      <c r="T38" s="72" t="s">
        <v>28</v>
      </c>
      <c r="U38" s="72" t="s">
        <v>28</v>
      </c>
      <c r="V38" s="72" t="s">
        <v>28</v>
      </c>
      <c r="W38" s="72" t="s">
        <v>28</v>
      </c>
      <c r="X38" s="72" t="s">
        <v>28</v>
      </c>
      <c r="Y38" s="72" t="s">
        <v>28</v>
      </c>
      <c r="Z38" s="72" t="s">
        <v>28</v>
      </c>
      <c r="AA38" s="72" t="s">
        <v>28</v>
      </c>
      <c r="AB38" s="35">
        <f t="shared" si="15"/>
        <v>545</v>
      </c>
      <c r="AC38" s="35">
        <f t="shared" si="16"/>
        <v>269</v>
      </c>
      <c r="AD38" s="35" t="str">
        <f t="shared" si="17"/>
        <v>&lt;</v>
      </c>
      <c r="AE38" s="35">
        <f t="shared" si="18"/>
        <v>272.5</v>
      </c>
      <c r="AF38" s="78">
        <v>100.0</v>
      </c>
      <c r="AG38" s="76" t="str">
        <f t="shared" si="19"/>
        <v>NO</v>
      </c>
      <c r="AH38" s="76" t="str">
        <f t="shared" si="20"/>
        <v>SI</v>
      </c>
    </row>
    <row r="39" ht="24.0" customHeight="1">
      <c r="B39" s="73">
        <v>30.0</v>
      </c>
      <c r="C39" s="77" t="s">
        <v>53</v>
      </c>
      <c r="D39" s="72">
        <v>2.6</v>
      </c>
      <c r="E39" s="72">
        <v>2.33</v>
      </c>
      <c r="F39" s="72">
        <v>2.7</v>
      </c>
      <c r="G39" s="69">
        <f t="shared" ref="G39:G47" si="21">+(D39*E39)/(F39*(D39+E39))</f>
        <v>0.4551123131</v>
      </c>
      <c r="H39" s="72">
        <v>1.0</v>
      </c>
      <c r="I39" s="72">
        <v>2.0</v>
      </c>
      <c r="J39" s="72">
        <f t="shared" ref="J39:J47" si="22">+H39+I39</f>
        <v>3</v>
      </c>
      <c r="K39" s="72">
        <f t="shared" ref="K39:K47" si="23">POWER(J39,2)</f>
        <v>9</v>
      </c>
      <c r="L39" s="70">
        <v>140.0</v>
      </c>
      <c r="M39" s="70">
        <v>168.0</v>
      </c>
      <c r="N39" s="70">
        <v>183.0</v>
      </c>
      <c r="O39" s="70">
        <v>145.0</v>
      </c>
      <c r="P39" s="70">
        <v>164.0</v>
      </c>
      <c r="Q39" s="70">
        <v>191.0</v>
      </c>
      <c r="R39" s="70">
        <v>185.0</v>
      </c>
      <c r="S39" s="70">
        <v>204.0</v>
      </c>
      <c r="T39" s="70">
        <v>142.0</v>
      </c>
      <c r="U39" s="72" t="s">
        <v>28</v>
      </c>
      <c r="V39" s="72" t="s">
        <v>28</v>
      </c>
      <c r="W39" s="72" t="s">
        <v>28</v>
      </c>
      <c r="X39" s="72" t="s">
        <v>28</v>
      </c>
      <c r="Y39" s="72" t="s">
        <v>28</v>
      </c>
      <c r="Z39" s="72" t="s">
        <v>28</v>
      </c>
      <c r="AA39" s="72" t="s">
        <v>28</v>
      </c>
      <c r="AB39" s="35">
        <f t="shared" si="15"/>
        <v>169.1111111</v>
      </c>
      <c r="AC39" s="35">
        <f t="shared" si="16"/>
        <v>140</v>
      </c>
      <c r="AD39" s="35" t="str">
        <f t="shared" si="17"/>
        <v>&gt;</v>
      </c>
      <c r="AE39" s="35">
        <f t="shared" si="18"/>
        <v>84.55555556</v>
      </c>
      <c r="AF39" s="78">
        <v>300.0</v>
      </c>
      <c r="AG39" s="76" t="str">
        <f t="shared" si="19"/>
        <v>SI</v>
      </c>
      <c r="AH39" s="76" t="str">
        <f t="shared" si="20"/>
        <v>NO</v>
      </c>
    </row>
    <row r="40" ht="24.0" customHeight="1">
      <c r="B40" s="72">
        <v>31.0</v>
      </c>
      <c r="C40" s="77" t="s">
        <v>54</v>
      </c>
      <c r="D40" s="72">
        <v>2.61</v>
      </c>
      <c r="E40" s="72">
        <v>4.71</v>
      </c>
      <c r="F40" s="72">
        <v>2.7</v>
      </c>
      <c r="G40" s="69">
        <f t="shared" si="21"/>
        <v>0.6219945355</v>
      </c>
      <c r="H40" s="72">
        <v>1.0</v>
      </c>
      <c r="I40" s="72">
        <v>2.0</v>
      </c>
      <c r="J40" s="72">
        <f t="shared" si="22"/>
        <v>3</v>
      </c>
      <c r="K40" s="72">
        <f t="shared" si="23"/>
        <v>9</v>
      </c>
      <c r="L40" s="70">
        <v>298.0</v>
      </c>
      <c r="M40" s="70">
        <v>303.0</v>
      </c>
      <c r="N40" s="70">
        <v>289.0</v>
      </c>
      <c r="O40" s="70">
        <v>266.0</v>
      </c>
      <c r="P40" s="70">
        <v>281.0</v>
      </c>
      <c r="Q40" s="70">
        <v>293.0</v>
      </c>
      <c r="R40" s="70">
        <v>284.0</v>
      </c>
      <c r="S40" s="70">
        <v>289.0</v>
      </c>
      <c r="T40" s="70">
        <v>276.0</v>
      </c>
      <c r="U40" s="72" t="s">
        <v>28</v>
      </c>
      <c r="V40" s="72" t="s">
        <v>28</v>
      </c>
      <c r="W40" s="72" t="s">
        <v>28</v>
      </c>
      <c r="X40" s="72" t="s">
        <v>28</v>
      </c>
      <c r="Y40" s="72" t="s">
        <v>28</v>
      </c>
      <c r="Z40" s="72" t="s">
        <v>28</v>
      </c>
      <c r="AA40" s="72" t="s">
        <v>28</v>
      </c>
      <c r="AB40" s="35">
        <f t="shared" si="15"/>
        <v>286.5555556</v>
      </c>
      <c r="AC40" s="35">
        <f t="shared" si="16"/>
        <v>266</v>
      </c>
      <c r="AD40" s="35" t="str">
        <f t="shared" si="17"/>
        <v>&gt;</v>
      </c>
      <c r="AE40" s="35">
        <f t="shared" si="18"/>
        <v>143.2777778</v>
      </c>
      <c r="AF40" s="78">
        <v>300.0</v>
      </c>
      <c r="AG40" s="76" t="str">
        <f t="shared" si="19"/>
        <v>SI</v>
      </c>
      <c r="AH40" s="76" t="str">
        <f t="shared" si="20"/>
        <v>NO</v>
      </c>
    </row>
    <row r="41" ht="24.0" customHeight="1">
      <c r="B41" s="72">
        <v>32.0</v>
      </c>
      <c r="C41" s="77" t="s">
        <v>55</v>
      </c>
      <c r="D41" s="72">
        <v>2.35</v>
      </c>
      <c r="E41" s="72">
        <v>2.8</v>
      </c>
      <c r="F41" s="72">
        <v>2.7</v>
      </c>
      <c r="G41" s="69">
        <f t="shared" si="21"/>
        <v>0.4732110752</v>
      </c>
      <c r="H41" s="72">
        <v>1.0</v>
      </c>
      <c r="I41" s="72">
        <v>2.0</v>
      </c>
      <c r="J41" s="72">
        <f t="shared" si="22"/>
        <v>3</v>
      </c>
      <c r="K41" s="72">
        <f t="shared" si="23"/>
        <v>9</v>
      </c>
      <c r="L41" s="70">
        <v>133.0</v>
      </c>
      <c r="M41" s="70">
        <v>276.0</v>
      </c>
      <c r="N41" s="70">
        <v>311.0</v>
      </c>
      <c r="O41" s="70">
        <v>313.0</v>
      </c>
      <c r="P41" s="70">
        <v>245.0</v>
      </c>
      <c r="Q41" s="70">
        <v>278.0</v>
      </c>
      <c r="R41" s="70">
        <v>277.0</v>
      </c>
      <c r="S41" s="70">
        <v>240.0</v>
      </c>
      <c r="T41" s="70">
        <v>231.0</v>
      </c>
      <c r="U41" s="72" t="s">
        <v>28</v>
      </c>
      <c r="V41" s="72" t="s">
        <v>28</v>
      </c>
      <c r="W41" s="72" t="s">
        <v>28</v>
      </c>
      <c r="X41" s="72" t="s">
        <v>28</v>
      </c>
      <c r="Y41" s="72" t="s">
        <v>28</v>
      </c>
      <c r="Z41" s="72" t="s">
        <v>28</v>
      </c>
      <c r="AA41" s="72" t="s">
        <v>28</v>
      </c>
      <c r="AB41" s="35">
        <f t="shared" si="15"/>
        <v>256</v>
      </c>
      <c r="AC41" s="35">
        <f t="shared" si="16"/>
        <v>133</v>
      </c>
      <c r="AD41" s="35" t="str">
        <f t="shared" si="17"/>
        <v>&gt;</v>
      </c>
      <c r="AE41" s="35">
        <f t="shared" si="18"/>
        <v>128</v>
      </c>
      <c r="AF41" s="78">
        <v>300.0</v>
      </c>
      <c r="AG41" s="76" t="str">
        <f t="shared" si="19"/>
        <v>SI</v>
      </c>
      <c r="AH41" s="76" t="str">
        <f t="shared" si="20"/>
        <v>NO</v>
      </c>
    </row>
    <row r="42" ht="24.0" customHeight="1">
      <c r="B42" s="73">
        <v>33.0</v>
      </c>
      <c r="C42" s="77" t="s">
        <v>56</v>
      </c>
      <c r="D42" s="72">
        <v>4.1</v>
      </c>
      <c r="E42" s="72">
        <v>7.16</v>
      </c>
      <c r="F42" s="72">
        <v>2.7</v>
      </c>
      <c r="G42" s="69">
        <f t="shared" si="21"/>
        <v>0.9655943688</v>
      </c>
      <c r="H42" s="72">
        <v>1.0</v>
      </c>
      <c r="I42" s="72">
        <v>2.0</v>
      </c>
      <c r="J42" s="72">
        <f t="shared" si="22"/>
        <v>3</v>
      </c>
      <c r="K42" s="72">
        <f t="shared" si="23"/>
        <v>9</v>
      </c>
      <c r="L42" s="70">
        <v>398.0</v>
      </c>
      <c r="M42" s="70">
        <v>373.0</v>
      </c>
      <c r="N42" s="70">
        <v>381.0</v>
      </c>
      <c r="O42" s="70">
        <v>389.0</v>
      </c>
      <c r="P42" s="70">
        <v>393.0</v>
      </c>
      <c r="Q42" s="70">
        <v>356.0</v>
      </c>
      <c r="R42" s="70">
        <v>298.0</v>
      </c>
      <c r="S42" s="70">
        <v>345.0</v>
      </c>
      <c r="T42" s="70">
        <v>333.0</v>
      </c>
      <c r="U42" s="72" t="s">
        <v>28</v>
      </c>
      <c r="V42" s="72" t="s">
        <v>28</v>
      </c>
      <c r="W42" s="72" t="s">
        <v>28</v>
      </c>
      <c r="X42" s="72" t="s">
        <v>28</v>
      </c>
      <c r="Y42" s="72" t="s">
        <v>28</v>
      </c>
      <c r="Z42" s="72" t="s">
        <v>28</v>
      </c>
      <c r="AA42" s="72" t="s">
        <v>28</v>
      </c>
      <c r="AB42" s="35">
        <f t="shared" si="15"/>
        <v>362.8888889</v>
      </c>
      <c r="AC42" s="35">
        <f t="shared" si="16"/>
        <v>298</v>
      </c>
      <c r="AD42" s="35" t="str">
        <f t="shared" si="17"/>
        <v>&gt;</v>
      </c>
      <c r="AE42" s="35">
        <f t="shared" si="18"/>
        <v>181.4444444</v>
      </c>
      <c r="AF42" s="78">
        <v>300.0</v>
      </c>
      <c r="AG42" s="76" t="str">
        <f t="shared" si="19"/>
        <v>SI</v>
      </c>
      <c r="AH42" s="76" t="str">
        <f t="shared" si="20"/>
        <v>SI</v>
      </c>
    </row>
    <row r="43" ht="24.0" customHeight="1">
      <c r="B43" s="72">
        <v>34.0</v>
      </c>
      <c r="C43" s="77" t="s">
        <v>91</v>
      </c>
      <c r="D43" s="82">
        <v>4.04</v>
      </c>
      <c r="E43" s="82">
        <v>3.05</v>
      </c>
      <c r="F43" s="82">
        <v>2.7</v>
      </c>
      <c r="G43" s="69">
        <f t="shared" si="21"/>
        <v>0.6436817636</v>
      </c>
      <c r="H43" s="72">
        <v>1.0</v>
      </c>
      <c r="I43" s="72">
        <v>2.0</v>
      </c>
      <c r="J43" s="72">
        <f t="shared" si="22"/>
        <v>3</v>
      </c>
      <c r="K43" s="72">
        <f t="shared" si="23"/>
        <v>9</v>
      </c>
      <c r="L43" s="70">
        <v>47.0</v>
      </c>
      <c r="M43" s="70">
        <v>65.0</v>
      </c>
      <c r="N43" s="70">
        <v>92.0</v>
      </c>
      <c r="O43" s="70">
        <v>220.0</v>
      </c>
      <c r="P43" s="70">
        <v>304.0</v>
      </c>
      <c r="Q43" s="70">
        <v>317.0</v>
      </c>
      <c r="R43" s="70">
        <v>202.0</v>
      </c>
      <c r="S43" s="70">
        <v>170.0</v>
      </c>
      <c r="T43" s="70">
        <v>166.0</v>
      </c>
      <c r="U43" s="72" t="s">
        <v>28</v>
      </c>
      <c r="V43" s="72" t="s">
        <v>28</v>
      </c>
      <c r="W43" s="72" t="s">
        <v>28</v>
      </c>
      <c r="X43" s="72" t="s">
        <v>28</v>
      </c>
      <c r="Y43" s="72" t="s">
        <v>28</v>
      </c>
      <c r="Z43" s="72" t="s">
        <v>28</v>
      </c>
      <c r="AA43" s="72" t="s">
        <v>28</v>
      </c>
      <c r="AB43" s="35">
        <f t="shared" si="15"/>
        <v>175.8888889</v>
      </c>
      <c r="AC43" s="35">
        <f t="shared" si="16"/>
        <v>47</v>
      </c>
      <c r="AD43" s="35" t="str">
        <f t="shared" si="17"/>
        <v>&lt;</v>
      </c>
      <c r="AE43" s="35">
        <f t="shared" si="18"/>
        <v>87.94444444</v>
      </c>
      <c r="AF43" s="78">
        <v>300.0</v>
      </c>
      <c r="AG43" s="76" t="str">
        <f t="shared" si="19"/>
        <v>NO</v>
      </c>
      <c r="AH43" s="76" t="str">
        <f t="shared" si="20"/>
        <v>NO</v>
      </c>
    </row>
    <row r="44" ht="24.0" customHeight="1">
      <c r="B44" s="72">
        <v>35.0</v>
      </c>
      <c r="C44" s="77" t="s">
        <v>58</v>
      </c>
      <c r="D44" s="72">
        <v>4.67</v>
      </c>
      <c r="E44" s="72">
        <v>4.53</v>
      </c>
      <c r="F44" s="72">
        <v>2.67</v>
      </c>
      <c r="G44" s="69">
        <f t="shared" si="21"/>
        <v>0.8612237421</v>
      </c>
      <c r="H44" s="72">
        <v>1.0</v>
      </c>
      <c r="I44" s="72">
        <v>2.0</v>
      </c>
      <c r="J44" s="72">
        <f t="shared" si="22"/>
        <v>3</v>
      </c>
      <c r="K44" s="72">
        <f t="shared" si="23"/>
        <v>9</v>
      </c>
      <c r="L44" s="70">
        <v>214.0</v>
      </c>
      <c r="M44" s="70">
        <v>221.0</v>
      </c>
      <c r="N44" s="70">
        <v>226.0</v>
      </c>
      <c r="O44" s="70">
        <v>193.0</v>
      </c>
      <c r="P44" s="70">
        <v>314.0</v>
      </c>
      <c r="Q44" s="70">
        <v>359.0</v>
      </c>
      <c r="R44" s="70">
        <v>373.0</v>
      </c>
      <c r="S44" s="70">
        <v>295.0</v>
      </c>
      <c r="T44" s="70">
        <v>196.0</v>
      </c>
      <c r="U44" s="72" t="s">
        <v>28</v>
      </c>
      <c r="V44" s="72" t="s">
        <v>28</v>
      </c>
      <c r="W44" s="72" t="s">
        <v>28</v>
      </c>
      <c r="X44" s="72" t="s">
        <v>28</v>
      </c>
      <c r="Y44" s="72" t="s">
        <v>28</v>
      </c>
      <c r="Z44" s="72" t="s">
        <v>28</v>
      </c>
      <c r="AA44" s="72" t="s">
        <v>28</v>
      </c>
      <c r="AB44" s="35">
        <f t="shared" si="15"/>
        <v>265.6666667</v>
      </c>
      <c r="AC44" s="35">
        <f t="shared" si="16"/>
        <v>193</v>
      </c>
      <c r="AD44" s="35" t="str">
        <f t="shared" si="17"/>
        <v>&gt;</v>
      </c>
      <c r="AE44" s="35">
        <f t="shared" si="18"/>
        <v>132.8333333</v>
      </c>
      <c r="AF44" s="78">
        <v>300.0</v>
      </c>
      <c r="AG44" s="76" t="str">
        <f t="shared" si="19"/>
        <v>SI</v>
      </c>
      <c r="AH44" s="76" t="str">
        <f t="shared" si="20"/>
        <v>NO</v>
      </c>
    </row>
    <row r="45" ht="24.0" customHeight="1">
      <c r="B45" s="73">
        <v>36.0</v>
      </c>
      <c r="C45" s="77" t="s">
        <v>92</v>
      </c>
      <c r="D45" s="72">
        <v>4.06</v>
      </c>
      <c r="E45" s="72">
        <v>2.84</v>
      </c>
      <c r="F45" s="72">
        <v>2.67</v>
      </c>
      <c r="G45" s="69">
        <f t="shared" si="21"/>
        <v>0.6258698366</v>
      </c>
      <c r="H45" s="72">
        <v>1.0</v>
      </c>
      <c r="I45" s="72">
        <v>2.0</v>
      </c>
      <c r="J45" s="72">
        <f t="shared" si="22"/>
        <v>3</v>
      </c>
      <c r="K45" s="72">
        <f t="shared" si="23"/>
        <v>9</v>
      </c>
      <c r="L45" s="70">
        <v>244.0</v>
      </c>
      <c r="M45" s="70">
        <v>285.0</v>
      </c>
      <c r="N45" s="70">
        <v>397.0</v>
      </c>
      <c r="O45" s="70">
        <v>369.0</v>
      </c>
      <c r="P45" s="70">
        <v>230.0</v>
      </c>
      <c r="Q45" s="70">
        <v>272.0</v>
      </c>
      <c r="R45" s="70">
        <v>408.0</v>
      </c>
      <c r="S45" s="70">
        <v>413.0</v>
      </c>
      <c r="T45" s="70">
        <v>367.0</v>
      </c>
      <c r="U45" s="72" t="s">
        <v>28</v>
      </c>
      <c r="V45" s="72" t="s">
        <v>28</v>
      </c>
      <c r="W45" s="72" t="s">
        <v>28</v>
      </c>
      <c r="X45" s="72" t="s">
        <v>28</v>
      </c>
      <c r="Y45" s="72" t="s">
        <v>28</v>
      </c>
      <c r="Z45" s="72" t="s">
        <v>28</v>
      </c>
      <c r="AA45" s="72" t="s">
        <v>28</v>
      </c>
      <c r="AB45" s="35">
        <f t="shared" si="15"/>
        <v>331.6666667</v>
      </c>
      <c r="AC45" s="35">
        <f t="shared" si="16"/>
        <v>230</v>
      </c>
      <c r="AD45" s="35" t="str">
        <f t="shared" si="17"/>
        <v>&gt;</v>
      </c>
      <c r="AE45" s="35">
        <f t="shared" si="18"/>
        <v>165.8333333</v>
      </c>
      <c r="AF45" s="78">
        <v>300.0</v>
      </c>
      <c r="AG45" s="76" t="str">
        <f t="shared" si="19"/>
        <v>SI</v>
      </c>
      <c r="AH45" s="76" t="str">
        <f t="shared" si="20"/>
        <v>SI</v>
      </c>
    </row>
    <row r="46" ht="24.0" customHeight="1">
      <c r="B46" s="72">
        <v>37.0</v>
      </c>
      <c r="C46" s="77" t="s">
        <v>59</v>
      </c>
      <c r="D46" s="72">
        <v>5.6</v>
      </c>
      <c r="E46" s="72">
        <v>4.18</v>
      </c>
      <c r="F46" s="72">
        <v>3.83</v>
      </c>
      <c r="G46" s="69">
        <f t="shared" si="21"/>
        <v>0.6249232461</v>
      </c>
      <c r="H46" s="72">
        <v>1.0</v>
      </c>
      <c r="I46" s="72">
        <v>2.0</v>
      </c>
      <c r="J46" s="72">
        <f t="shared" si="22"/>
        <v>3</v>
      </c>
      <c r="K46" s="72">
        <f t="shared" si="23"/>
        <v>9</v>
      </c>
      <c r="L46" s="70">
        <v>854.0</v>
      </c>
      <c r="M46" s="70">
        <v>622.0</v>
      </c>
      <c r="N46" s="70">
        <v>429.0</v>
      </c>
      <c r="O46" s="70">
        <v>393.0</v>
      </c>
      <c r="P46" s="70">
        <v>359.0</v>
      </c>
      <c r="Q46" s="70">
        <v>616.0</v>
      </c>
      <c r="R46" s="70">
        <v>369.0</v>
      </c>
      <c r="S46" s="70">
        <v>319.0</v>
      </c>
      <c r="T46" s="70">
        <v>393.0</v>
      </c>
      <c r="U46" s="72" t="s">
        <v>28</v>
      </c>
      <c r="V46" s="72" t="s">
        <v>28</v>
      </c>
      <c r="W46" s="72" t="s">
        <v>28</v>
      </c>
      <c r="X46" s="72" t="s">
        <v>28</v>
      </c>
      <c r="Y46" s="72" t="s">
        <v>28</v>
      </c>
      <c r="Z46" s="72" t="s">
        <v>28</v>
      </c>
      <c r="AA46" s="72" t="s">
        <v>28</v>
      </c>
      <c r="AB46" s="35">
        <f t="shared" si="15"/>
        <v>483.7777778</v>
      </c>
      <c r="AC46" s="35">
        <f t="shared" si="16"/>
        <v>319</v>
      </c>
      <c r="AD46" s="35" t="str">
        <f t="shared" si="17"/>
        <v>&gt;</v>
      </c>
      <c r="AE46" s="35">
        <f t="shared" si="18"/>
        <v>241.8888889</v>
      </c>
      <c r="AF46" s="78">
        <v>300.0</v>
      </c>
      <c r="AG46" s="76" t="str">
        <f t="shared" si="19"/>
        <v>SI</v>
      </c>
      <c r="AH46" s="76" t="str">
        <f t="shared" si="20"/>
        <v>SI</v>
      </c>
    </row>
    <row r="47" ht="24.0" customHeight="1">
      <c r="B47" s="72">
        <v>38.0</v>
      </c>
      <c r="C47" s="77" t="s">
        <v>60</v>
      </c>
      <c r="D47" s="72">
        <v>2.6</v>
      </c>
      <c r="E47" s="72">
        <v>2.1</v>
      </c>
      <c r="F47" s="72">
        <v>5.21</v>
      </c>
      <c r="G47" s="69">
        <f t="shared" si="21"/>
        <v>0.2229754564</v>
      </c>
      <c r="H47" s="72">
        <v>1.0</v>
      </c>
      <c r="I47" s="72">
        <v>2.0</v>
      </c>
      <c r="J47" s="72">
        <f t="shared" si="22"/>
        <v>3</v>
      </c>
      <c r="K47" s="72">
        <f t="shared" si="23"/>
        <v>9</v>
      </c>
      <c r="L47" s="70">
        <v>173.0</v>
      </c>
      <c r="M47" s="70">
        <v>166.0</v>
      </c>
      <c r="N47" s="70">
        <v>141.0</v>
      </c>
      <c r="O47" s="70">
        <v>174.0</v>
      </c>
      <c r="P47" s="70">
        <v>170.0</v>
      </c>
      <c r="Q47" s="70">
        <v>160.0</v>
      </c>
      <c r="R47" s="70">
        <v>124.0</v>
      </c>
      <c r="S47" s="70">
        <v>115.0</v>
      </c>
      <c r="T47" s="70">
        <v>172.0</v>
      </c>
      <c r="U47" s="72" t="s">
        <v>28</v>
      </c>
      <c r="V47" s="72" t="s">
        <v>28</v>
      </c>
      <c r="W47" s="72" t="s">
        <v>28</v>
      </c>
      <c r="X47" s="72" t="s">
        <v>28</v>
      </c>
      <c r="Y47" s="72" t="s">
        <v>28</v>
      </c>
      <c r="Z47" s="72" t="s">
        <v>28</v>
      </c>
      <c r="AA47" s="72" t="s">
        <v>28</v>
      </c>
      <c r="AB47" s="35">
        <f t="shared" si="15"/>
        <v>155</v>
      </c>
      <c r="AC47" s="35">
        <f t="shared" si="16"/>
        <v>115</v>
      </c>
      <c r="AD47" s="35" t="str">
        <f t="shared" si="17"/>
        <v>&gt;</v>
      </c>
      <c r="AE47" s="35">
        <f t="shared" si="18"/>
        <v>77.5</v>
      </c>
      <c r="AF47" s="78">
        <v>200.0</v>
      </c>
      <c r="AG47" s="76" t="str">
        <f t="shared" si="19"/>
        <v>SI</v>
      </c>
      <c r="AH47" s="76" t="str">
        <f t="shared" si="20"/>
        <v>NO</v>
      </c>
    </row>
    <row r="48" ht="24.0" customHeight="1">
      <c r="B48" s="73">
        <v>39.0</v>
      </c>
      <c r="C48" s="77" t="s">
        <v>61</v>
      </c>
      <c r="D48" s="72" t="s">
        <v>28</v>
      </c>
      <c r="E48" s="72" t="s">
        <v>28</v>
      </c>
      <c r="F48" s="72" t="s">
        <v>28</v>
      </c>
      <c r="G48" s="72" t="s">
        <v>28</v>
      </c>
      <c r="H48" s="72" t="s">
        <v>28</v>
      </c>
      <c r="I48" s="72" t="s">
        <v>28</v>
      </c>
      <c r="J48" s="72" t="s">
        <v>28</v>
      </c>
      <c r="K48" s="72" t="s">
        <v>28</v>
      </c>
      <c r="L48" s="70">
        <v>664.0</v>
      </c>
      <c r="M48" s="70">
        <v>734.0</v>
      </c>
      <c r="N48" s="72" t="s">
        <v>28</v>
      </c>
      <c r="O48" s="72" t="s">
        <v>28</v>
      </c>
      <c r="P48" s="72" t="s">
        <v>28</v>
      </c>
      <c r="Q48" s="72" t="s">
        <v>28</v>
      </c>
      <c r="R48" s="72" t="s">
        <v>28</v>
      </c>
      <c r="S48" s="72" t="s">
        <v>28</v>
      </c>
      <c r="T48" s="72" t="s">
        <v>28</v>
      </c>
      <c r="U48" s="72" t="s">
        <v>28</v>
      </c>
      <c r="V48" s="72" t="s">
        <v>28</v>
      </c>
      <c r="W48" s="72" t="s">
        <v>28</v>
      </c>
      <c r="X48" s="72" t="s">
        <v>28</v>
      </c>
      <c r="Y48" s="72" t="s">
        <v>28</v>
      </c>
      <c r="Z48" s="72" t="s">
        <v>28</v>
      </c>
      <c r="AA48" s="72" t="s">
        <v>28</v>
      </c>
      <c r="AB48" s="35">
        <f t="shared" si="15"/>
        <v>699</v>
      </c>
      <c r="AC48" s="35">
        <f t="shared" si="16"/>
        <v>664</v>
      </c>
      <c r="AD48" s="35" t="str">
        <f t="shared" si="17"/>
        <v>&gt;</v>
      </c>
      <c r="AE48" s="35">
        <f t="shared" si="18"/>
        <v>349.5</v>
      </c>
      <c r="AF48" s="78">
        <v>200.0</v>
      </c>
      <c r="AG48" s="76" t="str">
        <f t="shared" si="19"/>
        <v>SI</v>
      </c>
      <c r="AH48" s="76" t="str">
        <f t="shared" si="20"/>
        <v>SI</v>
      </c>
    </row>
    <row r="49" ht="24.0" customHeight="1">
      <c r="B49" s="72">
        <v>40.0</v>
      </c>
      <c r="C49" s="77" t="s">
        <v>62</v>
      </c>
      <c r="D49" s="72">
        <v>2.97</v>
      </c>
      <c r="E49" s="72">
        <v>3.0</v>
      </c>
      <c r="F49" s="72">
        <v>2.7</v>
      </c>
      <c r="G49" s="67">
        <f>+(D49*E49)/(F49*(D49+E49))</f>
        <v>0.5527638191</v>
      </c>
      <c r="H49" s="72">
        <v>1.0</v>
      </c>
      <c r="I49" s="72">
        <v>2.0</v>
      </c>
      <c r="J49" s="72">
        <f>+H49+I49</f>
        <v>3</v>
      </c>
      <c r="K49" s="72">
        <f>POWER(J49,2)</f>
        <v>9</v>
      </c>
      <c r="L49" s="70">
        <v>368.0</v>
      </c>
      <c r="M49" s="70">
        <v>432.0</v>
      </c>
      <c r="N49" s="70">
        <v>400.0</v>
      </c>
      <c r="O49" s="70">
        <v>375.0</v>
      </c>
      <c r="P49" s="70">
        <v>466.0</v>
      </c>
      <c r="Q49" s="70">
        <v>361.0</v>
      </c>
      <c r="R49" s="70">
        <v>318.0</v>
      </c>
      <c r="S49" s="70">
        <v>397.0</v>
      </c>
      <c r="T49" s="70">
        <v>391.0</v>
      </c>
      <c r="U49" s="72" t="s">
        <v>28</v>
      </c>
      <c r="V49" s="72" t="s">
        <v>28</v>
      </c>
      <c r="W49" s="72" t="s">
        <v>28</v>
      </c>
      <c r="X49" s="72" t="s">
        <v>28</v>
      </c>
      <c r="Y49" s="72" t="s">
        <v>28</v>
      </c>
      <c r="Z49" s="72" t="s">
        <v>28</v>
      </c>
      <c r="AA49" s="72" t="s">
        <v>28</v>
      </c>
      <c r="AB49" s="35">
        <f t="shared" si="15"/>
        <v>389.7777778</v>
      </c>
      <c r="AC49" s="35">
        <f t="shared" si="16"/>
        <v>318</v>
      </c>
      <c r="AD49" s="35" t="str">
        <f t="shared" si="17"/>
        <v>&gt;</v>
      </c>
      <c r="AE49" s="35">
        <f t="shared" si="18"/>
        <v>194.8888889</v>
      </c>
      <c r="AF49" s="78">
        <v>300.0</v>
      </c>
      <c r="AG49" s="76" t="str">
        <f t="shared" si="19"/>
        <v>SI</v>
      </c>
      <c r="AH49" s="76" t="str">
        <f t="shared" si="20"/>
        <v>SI</v>
      </c>
    </row>
    <row r="50" ht="24.0" customHeight="1">
      <c r="B50" s="72">
        <v>41.0</v>
      </c>
      <c r="C50" s="77" t="s">
        <v>63</v>
      </c>
      <c r="D50" s="72" t="s">
        <v>28</v>
      </c>
      <c r="E50" s="72" t="s">
        <v>28</v>
      </c>
      <c r="F50" s="72" t="s">
        <v>28</v>
      </c>
      <c r="G50" s="72" t="s">
        <v>28</v>
      </c>
      <c r="H50" s="72" t="s">
        <v>28</v>
      </c>
      <c r="I50" s="72" t="s">
        <v>28</v>
      </c>
      <c r="J50" s="72" t="s">
        <v>28</v>
      </c>
      <c r="K50" s="72" t="s">
        <v>28</v>
      </c>
      <c r="L50" s="70">
        <v>256.0</v>
      </c>
      <c r="M50" s="70">
        <v>303.0</v>
      </c>
      <c r="N50" s="70">
        <v>463.0</v>
      </c>
      <c r="O50" s="72" t="s">
        <v>28</v>
      </c>
      <c r="P50" s="72" t="s">
        <v>28</v>
      </c>
      <c r="Q50" s="72" t="s">
        <v>28</v>
      </c>
      <c r="R50" s="72" t="s">
        <v>28</v>
      </c>
      <c r="S50" s="72" t="s">
        <v>28</v>
      </c>
      <c r="T50" s="72" t="s">
        <v>28</v>
      </c>
      <c r="U50" s="72" t="s">
        <v>28</v>
      </c>
      <c r="V50" s="72" t="s">
        <v>28</v>
      </c>
      <c r="W50" s="72" t="s">
        <v>28</v>
      </c>
      <c r="X50" s="72" t="s">
        <v>28</v>
      </c>
      <c r="Y50" s="72" t="s">
        <v>28</v>
      </c>
      <c r="Z50" s="72" t="s">
        <v>28</v>
      </c>
      <c r="AA50" s="72" t="s">
        <v>28</v>
      </c>
      <c r="AB50" s="35">
        <f t="shared" si="15"/>
        <v>340.6666667</v>
      </c>
      <c r="AC50" s="35">
        <f t="shared" si="16"/>
        <v>256</v>
      </c>
      <c r="AD50" s="35" t="str">
        <f t="shared" si="17"/>
        <v>&gt;</v>
      </c>
      <c r="AE50" s="35">
        <f t="shared" si="18"/>
        <v>170.3333333</v>
      </c>
      <c r="AF50" s="78">
        <v>100.0</v>
      </c>
      <c r="AG50" s="76" t="str">
        <f t="shared" si="19"/>
        <v>SI</v>
      </c>
      <c r="AH50" s="76" t="str">
        <f t="shared" si="20"/>
        <v>SI</v>
      </c>
    </row>
    <row r="51" ht="24.0" customHeight="1">
      <c r="B51" s="73">
        <v>42.0</v>
      </c>
      <c r="C51" s="77" t="s">
        <v>64</v>
      </c>
      <c r="D51" s="72">
        <v>3.94</v>
      </c>
      <c r="E51" s="72">
        <v>3.35</v>
      </c>
      <c r="F51" s="72">
        <v>3.32</v>
      </c>
      <c r="G51" s="69">
        <f>+(D51*E51)/(F51*(D51+E51))</f>
        <v>0.5453501248</v>
      </c>
      <c r="H51" s="72">
        <v>1.0</v>
      </c>
      <c r="I51" s="72">
        <v>2.0</v>
      </c>
      <c r="J51" s="72">
        <f>+H51+I51</f>
        <v>3</v>
      </c>
      <c r="K51" s="72">
        <f>POWER(J51,2)</f>
        <v>9</v>
      </c>
      <c r="L51" s="70">
        <v>318.0</v>
      </c>
      <c r="M51" s="70">
        <v>342.0</v>
      </c>
      <c r="N51" s="70">
        <v>328.0</v>
      </c>
      <c r="O51" s="70">
        <v>285.0</v>
      </c>
      <c r="P51" s="70">
        <v>392.0</v>
      </c>
      <c r="Q51" s="70">
        <v>380.0</v>
      </c>
      <c r="R51" s="70">
        <v>324.0</v>
      </c>
      <c r="S51" s="70">
        <v>333.0</v>
      </c>
      <c r="T51" s="70">
        <v>254.0</v>
      </c>
      <c r="U51" s="72" t="s">
        <v>28</v>
      </c>
      <c r="V51" s="72" t="s">
        <v>28</v>
      </c>
      <c r="W51" s="72" t="s">
        <v>28</v>
      </c>
      <c r="X51" s="72" t="s">
        <v>28</v>
      </c>
      <c r="Y51" s="72" t="s">
        <v>28</v>
      </c>
      <c r="Z51" s="72" t="s">
        <v>28</v>
      </c>
      <c r="AA51" s="72" t="s">
        <v>28</v>
      </c>
      <c r="AB51" s="35">
        <f t="shared" si="15"/>
        <v>328.4444444</v>
      </c>
      <c r="AC51" s="35">
        <f t="shared" si="16"/>
        <v>254</v>
      </c>
      <c r="AD51" s="35" t="str">
        <f t="shared" si="17"/>
        <v>&gt;</v>
      </c>
      <c r="AE51" s="35">
        <f t="shared" si="18"/>
        <v>164.2222222</v>
      </c>
      <c r="AF51" s="78">
        <v>300.0</v>
      </c>
      <c r="AG51" s="76" t="str">
        <f t="shared" si="19"/>
        <v>SI</v>
      </c>
      <c r="AH51" s="76" t="str">
        <f t="shared" si="20"/>
        <v>SI</v>
      </c>
    </row>
    <row r="52" ht="24.0" customHeight="1">
      <c r="B52" s="72">
        <v>43.0</v>
      </c>
      <c r="C52" s="77" t="s">
        <v>65</v>
      </c>
      <c r="D52" s="72" t="s">
        <v>28</v>
      </c>
      <c r="E52" s="72" t="s">
        <v>28</v>
      </c>
      <c r="F52" s="72" t="s">
        <v>28</v>
      </c>
      <c r="G52" s="72" t="s">
        <v>28</v>
      </c>
      <c r="H52" s="72" t="s">
        <v>28</v>
      </c>
      <c r="I52" s="72" t="s">
        <v>28</v>
      </c>
      <c r="J52" s="72" t="s">
        <v>28</v>
      </c>
      <c r="K52" s="72" t="s">
        <v>28</v>
      </c>
      <c r="L52" s="70">
        <v>166.0</v>
      </c>
      <c r="M52" s="70">
        <v>153.0</v>
      </c>
      <c r="N52" s="72" t="s">
        <v>28</v>
      </c>
      <c r="O52" s="72" t="s">
        <v>28</v>
      </c>
      <c r="P52" s="72" t="s">
        <v>28</v>
      </c>
      <c r="Q52" s="72" t="s">
        <v>28</v>
      </c>
      <c r="R52" s="72" t="s">
        <v>28</v>
      </c>
      <c r="S52" s="72" t="s">
        <v>28</v>
      </c>
      <c r="T52" s="72" t="s">
        <v>28</v>
      </c>
      <c r="U52" s="72" t="s">
        <v>28</v>
      </c>
      <c r="V52" s="72" t="s">
        <v>28</v>
      </c>
      <c r="W52" s="72" t="s">
        <v>28</v>
      </c>
      <c r="X52" s="72" t="s">
        <v>28</v>
      </c>
      <c r="Y52" s="72" t="s">
        <v>28</v>
      </c>
      <c r="Z52" s="72" t="s">
        <v>28</v>
      </c>
      <c r="AA52" s="72" t="s">
        <v>28</v>
      </c>
      <c r="AB52" s="35">
        <f t="shared" si="15"/>
        <v>159.5</v>
      </c>
      <c r="AC52" s="35">
        <f t="shared" si="16"/>
        <v>153</v>
      </c>
      <c r="AD52" s="35" t="str">
        <f t="shared" si="17"/>
        <v>&gt;</v>
      </c>
      <c r="AE52" s="35">
        <f t="shared" si="18"/>
        <v>79.75</v>
      </c>
      <c r="AF52" s="78">
        <v>100.0</v>
      </c>
      <c r="AG52" s="76" t="str">
        <f t="shared" si="19"/>
        <v>SI</v>
      </c>
      <c r="AH52" s="76" t="str">
        <f t="shared" si="20"/>
        <v>SI</v>
      </c>
    </row>
    <row r="53" ht="24.0" customHeight="1">
      <c r="B53" s="72">
        <v>44.0</v>
      </c>
      <c r="C53" s="77" t="s">
        <v>93</v>
      </c>
      <c r="D53" s="72" t="s">
        <v>28</v>
      </c>
      <c r="E53" s="72" t="s">
        <v>28</v>
      </c>
      <c r="F53" s="72" t="s">
        <v>28</v>
      </c>
      <c r="G53" s="72" t="s">
        <v>28</v>
      </c>
      <c r="H53" s="72" t="s">
        <v>28</v>
      </c>
      <c r="I53" s="72" t="s">
        <v>28</v>
      </c>
      <c r="J53" s="72" t="s">
        <v>28</v>
      </c>
      <c r="K53" s="72" t="s">
        <v>28</v>
      </c>
      <c r="L53" s="70">
        <v>291.0</v>
      </c>
      <c r="M53" s="70">
        <v>303.0</v>
      </c>
      <c r="N53" s="72" t="s">
        <v>28</v>
      </c>
      <c r="O53" s="72" t="s">
        <v>28</v>
      </c>
      <c r="P53" s="72" t="s">
        <v>28</v>
      </c>
      <c r="Q53" s="72" t="s">
        <v>28</v>
      </c>
      <c r="R53" s="72" t="s">
        <v>28</v>
      </c>
      <c r="S53" s="72" t="s">
        <v>28</v>
      </c>
      <c r="T53" s="72" t="s">
        <v>28</v>
      </c>
      <c r="U53" s="72" t="s">
        <v>28</v>
      </c>
      <c r="V53" s="72" t="s">
        <v>28</v>
      </c>
      <c r="W53" s="72" t="s">
        <v>28</v>
      </c>
      <c r="X53" s="72" t="s">
        <v>28</v>
      </c>
      <c r="Y53" s="72" t="s">
        <v>28</v>
      </c>
      <c r="Z53" s="72" t="s">
        <v>28</v>
      </c>
      <c r="AA53" s="72" t="s">
        <v>28</v>
      </c>
      <c r="AB53" s="35">
        <f t="shared" si="15"/>
        <v>297</v>
      </c>
      <c r="AC53" s="35">
        <f t="shared" si="16"/>
        <v>291</v>
      </c>
      <c r="AD53" s="35" t="str">
        <f t="shared" si="17"/>
        <v>&gt;</v>
      </c>
      <c r="AE53" s="35">
        <f t="shared" si="18"/>
        <v>148.5</v>
      </c>
      <c r="AF53" s="78">
        <v>100.0</v>
      </c>
      <c r="AG53" s="76" t="str">
        <f t="shared" si="19"/>
        <v>SI</v>
      </c>
      <c r="AH53" s="76" t="str">
        <f t="shared" si="20"/>
        <v>SI</v>
      </c>
    </row>
    <row r="54" ht="24.0" customHeight="1">
      <c r="B54" s="73">
        <v>45.0</v>
      </c>
      <c r="C54" s="77" t="s">
        <v>98</v>
      </c>
      <c r="D54" s="72" t="s">
        <v>28</v>
      </c>
      <c r="E54" s="72" t="s">
        <v>28</v>
      </c>
      <c r="F54" s="72" t="s">
        <v>28</v>
      </c>
      <c r="G54" s="72" t="s">
        <v>28</v>
      </c>
      <c r="H54" s="72" t="s">
        <v>28</v>
      </c>
      <c r="I54" s="72" t="s">
        <v>28</v>
      </c>
      <c r="J54" s="72" t="s">
        <v>28</v>
      </c>
      <c r="K54" s="72" t="s">
        <v>28</v>
      </c>
      <c r="L54" s="70">
        <v>315.0</v>
      </c>
      <c r="M54" s="70">
        <v>321.0</v>
      </c>
      <c r="N54" s="72" t="s">
        <v>28</v>
      </c>
      <c r="O54" s="72" t="s">
        <v>28</v>
      </c>
      <c r="P54" s="72" t="s">
        <v>28</v>
      </c>
      <c r="Q54" s="72" t="s">
        <v>28</v>
      </c>
      <c r="R54" s="72" t="s">
        <v>28</v>
      </c>
      <c r="S54" s="72" t="s">
        <v>28</v>
      </c>
      <c r="T54" s="72" t="s">
        <v>28</v>
      </c>
      <c r="U54" s="72" t="s">
        <v>28</v>
      </c>
      <c r="V54" s="72" t="s">
        <v>28</v>
      </c>
      <c r="W54" s="72" t="s">
        <v>28</v>
      </c>
      <c r="X54" s="72" t="s">
        <v>28</v>
      </c>
      <c r="Y54" s="72" t="s">
        <v>28</v>
      </c>
      <c r="Z54" s="72" t="s">
        <v>28</v>
      </c>
      <c r="AA54" s="72" t="s">
        <v>28</v>
      </c>
      <c r="AB54" s="35">
        <f t="shared" si="15"/>
        <v>318</v>
      </c>
      <c r="AC54" s="35">
        <f t="shared" si="16"/>
        <v>315</v>
      </c>
      <c r="AD54" s="35" t="str">
        <f t="shared" si="17"/>
        <v>&gt;</v>
      </c>
      <c r="AE54" s="35">
        <f t="shared" si="18"/>
        <v>159</v>
      </c>
      <c r="AF54" s="78">
        <v>200.0</v>
      </c>
      <c r="AG54" s="76" t="str">
        <f t="shared" si="19"/>
        <v>SI</v>
      </c>
      <c r="AH54" s="76" t="str">
        <f t="shared" si="20"/>
        <v>SI</v>
      </c>
    </row>
    <row r="55" ht="24.0" customHeight="1">
      <c r="B55" s="72">
        <v>46.0</v>
      </c>
      <c r="C55" s="77" t="s">
        <v>66</v>
      </c>
      <c r="D55" s="72">
        <v>3.78</v>
      </c>
      <c r="E55" s="72">
        <v>2.67</v>
      </c>
      <c r="F55" s="72">
        <v>4.25</v>
      </c>
      <c r="G55" s="69">
        <f>+(D55*E55)/(F55*(D55+E55))</f>
        <v>0.3681751026</v>
      </c>
      <c r="H55" s="72">
        <v>1.0</v>
      </c>
      <c r="I55" s="72">
        <v>2.0</v>
      </c>
      <c r="J55" s="72">
        <f>+H55+I55</f>
        <v>3</v>
      </c>
      <c r="K55" s="72">
        <f>POWER(J55,2)</f>
        <v>9</v>
      </c>
      <c r="L55" s="70">
        <v>570.0</v>
      </c>
      <c r="M55" s="70">
        <v>551.0</v>
      </c>
      <c r="N55" s="70">
        <v>519.0</v>
      </c>
      <c r="O55" s="70">
        <v>566.0</v>
      </c>
      <c r="P55" s="70">
        <v>510.0</v>
      </c>
      <c r="Q55" s="70">
        <v>533.0</v>
      </c>
      <c r="R55" s="70">
        <v>493.0</v>
      </c>
      <c r="S55" s="70">
        <v>463.0</v>
      </c>
      <c r="T55" s="70">
        <v>409.0</v>
      </c>
      <c r="U55" s="72" t="s">
        <v>28</v>
      </c>
      <c r="V55" s="72" t="s">
        <v>28</v>
      </c>
      <c r="W55" s="72" t="s">
        <v>28</v>
      </c>
      <c r="X55" s="72" t="s">
        <v>28</v>
      </c>
      <c r="Y55" s="72" t="s">
        <v>28</v>
      </c>
      <c r="Z55" s="72" t="s">
        <v>28</v>
      </c>
      <c r="AA55" s="72" t="s">
        <v>28</v>
      </c>
      <c r="AB55" s="35">
        <f t="shared" si="15"/>
        <v>512.6666667</v>
      </c>
      <c r="AC55" s="35">
        <f t="shared" si="16"/>
        <v>409</v>
      </c>
      <c r="AD55" s="35" t="str">
        <f t="shared" si="17"/>
        <v>&gt;</v>
      </c>
      <c r="AE55" s="35">
        <f t="shared" si="18"/>
        <v>256.3333333</v>
      </c>
      <c r="AF55" s="78">
        <v>300.0</v>
      </c>
      <c r="AG55" s="76" t="str">
        <f t="shared" si="19"/>
        <v>SI</v>
      </c>
      <c r="AH55" s="76" t="str">
        <f t="shared" si="20"/>
        <v>SI</v>
      </c>
    </row>
    <row r="56" ht="24.0" customHeight="1">
      <c r="B56" s="72">
        <v>47.0</v>
      </c>
      <c r="C56" s="77" t="s">
        <v>99</v>
      </c>
      <c r="D56" s="72" t="s">
        <v>28</v>
      </c>
      <c r="E56" s="72" t="s">
        <v>28</v>
      </c>
      <c r="F56" s="72" t="s">
        <v>28</v>
      </c>
      <c r="G56" s="72" t="s">
        <v>28</v>
      </c>
      <c r="H56" s="72" t="s">
        <v>28</v>
      </c>
      <c r="I56" s="72" t="s">
        <v>28</v>
      </c>
      <c r="J56" s="72" t="s">
        <v>28</v>
      </c>
      <c r="K56" s="72" t="s">
        <v>28</v>
      </c>
      <c r="L56" s="70">
        <v>91.0</v>
      </c>
      <c r="M56" s="70">
        <v>76.0</v>
      </c>
      <c r="N56" s="70">
        <v>87.0</v>
      </c>
      <c r="O56" s="72" t="s">
        <v>28</v>
      </c>
      <c r="P56" s="72" t="s">
        <v>28</v>
      </c>
      <c r="Q56" s="72" t="s">
        <v>28</v>
      </c>
      <c r="R56" s="72" t="s">
        <v>28</v>
      </c>
      <c r="S56" s="72" t="s">
        <v>28</v>
      </c>
      <c r="T56" s="72" t="s">
        <v>28</v>
      </c>
      <c r="U56" s="72" t="s">
        <v>28</v>
      </c>
      <c r="V56" s="72" t="s">
        <v>28</v>
      </c>
      <c r="W56" s="72" t="s">
        <v>28</v>
      </c>
      <c r="X56" s="72" t="s">
        <v>28</v>
      </c>
      <c r="Y56" s="72" t="s">
        <v>28</v>
      </c>
      <c r="Z56" s="72" t="s">
        <v>28</v>
      </c>
      <c r="AA56" s="72" t="s">
        <v>28</v>
      </c>
      <c r="AB56" s="35">
        <f t="shared" si="15"/>
        <v>84.66666667</v>
      </c>
      <c r="AC56" s="35">
        <f t="shared" si="16"/>
        <v>76</v>
      </c>
      <c r="AD56" s="35" t="str">
        <f t="shared" si="17"/>
        <v>&gt;</v>
      </c>
      <c r="AE56" s="35">
        <f t="shared" si="18"/>
        <v>42.33333333</v>
      </c>
      <c r="AF56" s="78">
        <v>200.0</v>
      </c>
      <c r="AG56" s="76" t="str">
        <f t="shared" si="19"/>
        <v>SI</v>
      </c>
      <c r="AH56" s="76" t="str">
        <f t="shared" si="20"/>
        <v>NO</v>
      </c>
    </row>
    <row r="57" ht="24.0" customHeight="1">
      <c r="B57" s="73">
        <v>48.0</v>
      </c>
      <c r="C57" s="77" t="s">
        <v>67</v>
      </c>
      <c r="D57" s="72">
        <v>7.77</v>
      </c>
      <c r="E57" s="72">
        <v>4.19</v>
      </c>
      <c r="F57" s="72">
        <v>2.94</v>
      </c>
      <c r="G57" s="67">
        <f t="shared" ref="G57:G60" si="24">+(D57*E57)/(F57*(D57+E57))</f>
        <v>0.9258838987</v>
      </c>
      <c r="H57" s="72">
        <v>1.0</v>
      </c>
      <c r="I57" s="72">
        <v>2.0</v>
      </c>
      <c r="J57" s="72">
        <f t="shared" ref="J57:J60" si="25">+H57+I57</f>
        <v>3</v>
      </c>
      <c r="K57" s="72">
        <f t="shared" ref="K57:K60" si="26">POWER(J57,2)</f>
        <v>9</v>
      </c>
      <c r="L57" s="70">
        <v>316.0</v>
      </c>
      <c r="M57" s="70">
        <v>348.0</v>
      </c>
      <c r="N57" s="70">
        <v>336.0</v>
      </c>
      <c r="O57" s="70">
        <v>310.0</v>
      </c>
      <c r="P57" s="70">
        <v>314.0</v>
      </c>
      <c r="Q57" s="70">
        <v>263.0</v>
      </c>
      <c r="R57" s="70">
        <v>333.0</v>
      </c>
      <c r="S57" s="70">
        <v>302.0</v>
      </c>
      <c r="T57" s="70">
        <v>306.0</v>
      </c>
      <c r="U57" s="72" t="s">
        <v>28</v>
      </c>
      <c r="V57" s="72" t="s">
        <v>28</v>
      </c>
      <c r="W57" s="72" t="s">
        <v>28</v>
      </c>
      <c r="X57" s="72" t="s">
        <v>28</v>
      </c>
      <c r="Y57" s="72" t="s">
        <v>28</v>
      </c>
      <c r="Z57" s="72" t="s">
        <v>28</v>
      </c>
      <c r="AA57" s="72" t="s">
        <v>28</v>
      </c>
      <c r="AB57" s="35">
        <f t="shared" si="15"/>
        <v>314.2222222</v>
      </c>
      <c r="AC57" s="35">
        <f t="shared" si="16"/>
        <v>263</v>
      </c>
      <c r="AD57" s="35" t="str">
        <f t="shared" si="17"/>
        <v>&gt;</v>
      </c>
      <c r="AE57" s="35">
        <f t="shared" si="18"/>
        <v>157.1111111</v>
      </c>
      <c r="AF57" s="78">
        <v>500.0</v>
      </c>
      <c r="AG57" s="76" t="str">
        <f t="shared" si="19"/>
        <v>SI</v>
      </c>
      <c r="AH57" s="76" t="str">
        <f t="shared" si="20"/>
        <v>NO</v>
      </c>
    </row>
    <row r="58" ht="24.0" customHeight="1">
      <c r="B58" s="72">
        <v>49.0</v>
      </c>
      <c r="C58" s="77" t="s">
        <v>68</v>
      </c>
      <c r="D58" s="72">
        <v>2.63</v>
      </c>
      <c r="E58" s="72">
        <v>4.18</v>
      </c>
      <c r="F58" s="72">
        <v>2.94</v>
      </c>
      <c r="G58" s="69">
        <f t="shared" si="24"/>
        <v>0.5490824817</v>
      </c>
      <c r="H58" s="72">
        <v>1.0</v>
      </c>
      <c r="I58" s="72">
        <v>2.0</v>
      </c>
      <c r="J58" s="72">
        <f t="shared" si="25"/>
        <v>3</v>
      </c>
      <c r="K58" s="72">
        <f t="shared" si="26"/>
        <v>9</v>
      </c>
      <c r="L58" s="70">
        <v>258.0</v>
      </c>
      <c r="M58" s="70">
        <v>345.0</v>
      </c>
      <c r="N58" s="70">
        <v>289.0</v>
      </c>
      <c r="O58" s="70">
        <v>302.0</v>
      </c>
      <c r="P58" s="70">
        <v>242.0</v>
      </c>
      <c r="Q58" s="70">
        <v>294.0</v>
      </c>
      <c r="R58" s="70">
        <v>297.0</v>
      </c>
      <c r="S58" s="70">
        <v>348.0</v>
      </c>
      <c r="T58" s="70">
        <v>307.0</v>
      </c>
      <c r="U58" s="72" t="s">
        <v>28</v>
      </c>
      <c r="V58" s="72" t="s">
        <v>28</v>
      </c>
      <c r="W58" s="72" t="s">
        <v>28</v>
      </c>
      <c r="X58" s="72" t="s">
        <v>28</v>
      </c>
      <c r="Y58" s="72" t="s">
        <v>28</v>
      </c>
      <c r="Z58" s="72" t="s">
        <v>28</v>
      </c>
      <c r="AA58" s="72" t="s">
        <v>28</v>
      </c>
      <c r="AB58" s="35">
        <f t="shared" si="15"/>
        <v>298</v>
      </c>
      <c r="AC58" s="35">
        <f t="shared" si="16"/>
        <v>242</v>
      </c>
      <c r="AD58" s="35" t="str">
        <f t="shared" si="17"/>
        <v>&gt;</v>
      </c>
      <c r="AE58" s="35">
        <f t="shared" si="18"/>
        <v>149</v>
      </c>
      <c r="AF58" s="78">
        <v>300.0</v>
      </c>
      <c r="AG58" s="76" t="str">
        <f t="shared" si="19"/>
        <v>SI</v>
      </c>
      <c r="AH58" s="76" t="str">
        <f t="shared" si="20"/>
        <v>NO</v>
      </c>
    </row>
    <row r="59" ht="24.0" customHeight="1">
      <c r="B59" s="72">
        <v>50.0</v>
      </c>
      <c r="C59" s="77" t="s">
        <v>69</v>
      </c>
      <c r="D59" s="72">
        <v>2.75</v>
      </c>
      <c r="E59" s="72">
        <v>4.21</v>
      </c>
      <c r="F59" s="72">
        <v>2.94</v>
      </c>
      <c r="G59" s="69">
        <f t="shared" si="24"/>
        <v>0.5657938463</v>
      </c>
      <c r="H59" s="72">
        <v>1.0</v>
      </c>
      <c r="I59" s="72">
        <v>2.0</v>
      </c>
      <c r="J59" s="72">
        <f t="shared" si="25"/>
        <v>3</v>
      </c>
      <c r="K59" s="72">
        <f t="shared" si="26"/>
        <v>9</v>
      </c>
      <c r="L59" s="70">
        <v>170.0</v>
      </c>
      <c r="M59" s="70">
        <v>153.0</v>
      </c>
      <c r="N59" s="70">
        <v>165.0</v>
      </c>
      <c r="O59" s="70">
        <v>148.0</v>
      </c>
      <c r="P59" s="70">
        <v>254.0</v>
      </c>
      <c r="Q59" s="70">
        <v>203.0</v>
      </c>
      <c r="R59" s="70">
        <v>164.0</v>
      </c>
      <c r="S59" s="70">
        <v>176.0</v>
      </c>
      <c r="T59" s="70">
        <v>189.0</v>
      </c>
      <c r="U59" s="72" t="s">
        <v>28</v>
      </c>
      <c r="V59" s="72" t="s">
        <v>28</v>
      </c>
      <c r="W59" s="72" t="s">
        <v>28</v>
      </c>
      <c r="X59" s="72" t="s">
        <v>28</v>
      </c>
      <c r="Y59" s="72" t="s">
        <v>28</v>
      </c>
      <c r="Z59" s="72" t="s">
        <v>28</v>
      </c>
      <c r="AA59" s="72" t="s">
        <v>28</v>
      </c>
      <c r="AB59" s="35">
        <f t="shared" si="15"/>
        <v>180.2222222</v>
      </c>
      <c r="AC59" s="35">
        <f t="shared" si="16"/>
        <v>148</v>
      </c>
      <c r="AD59" s="35" t="str">
        <f t="shared" si="17"/>
        <v>&gt;</v>
      </c>
      <c r="AE59" s="35">
        <f t="shared" si="18"/>
        <v>90.11111111</v>
      </c>
      <c r="AF59" s="78">
        <v>50.0</v>
      </c>
      <c r="AG59" s="76" t="str">
        <f t="shared" si="19"/>
        <v>SI</v>
      </c>
      <c r="AH59" s="76" t="str">
        <f t="shared" si="20"/>
        <v>SI</v>
      </c>
    </row>
    <row r="60" ht="24.0" customHeight="1">
      <c r="B60" s="72">
        <v>51.0</v>
      </c>
      <c r="C60" s="77" t="s">
        <v>70</v>
      </c>
      <c r="D60" s="72">
        <v>7.09</v>
      </c>
      <c r="E60" s="72">
        <v>7.72</v>
      </c>
      <c r="F60" s="72">
        <v>3.0</v>
      </c>
      <c r="G60" s="79">
        <f t="shared" si="24"/>
        <v>1.231933378</v>
      </c>
      <c r="H60" s="72">
        <v>1.0</v>
      </c>
      <c r="I60" s="72">
        <v>2.0</v>
      </c>
      <c r="J60" s="72">
        <f t="shared" si="25"/>
        <v>3</v>
      </c>
      <c r="K60" s="72">
        <f t="shared" si="26"/>
        <v>9</v>
      </c>
      <c r="L60" s="70">
        <v>543.0</v>
      </c>
      <c r="M60" s="70">
        <v>675.0</v>
      </c>
      <c r="N60" s="70">
        <v>796.0</v>
      </c>
      <c r="O60" s="70">
        <v>532.0</v>
      </c>
      <c r="P60" s="70">
        <v>429.0</v>
      </c>
      <c r="Q60" s="70">
        <v>479.0</v>
      </c>
      <c r="R60" s="70">
        <v>568.0</v>
      </c>
      <c r="S60" s="70">
        <v>482.0</v>
      </c>
      <c r="T60" s="70">
        <v>389.0</v>
      </c>
      <c r="U60" s="72" t="s">
        <v>28</v>
      </c>
      <c r="V60" s="72" t="s">
        <v>28</v>
      </c>
      <c r="W60" s="72" t="s">
        <v>28</v>
      </c>
      <c r="X60" s="72" t="s">
        <v>28</v>
      </c>
      <c r="Y60" s="72" t="s">
        <v>28</v>
      </c>
      <c r="Z60" s="72" t="s">
        <v>28</v>
      </c>
      <c r="AA60" s="72" t="s">
        <v>28</v>
      </c>
      <c r="AB60" s="35">
        <f t="shared" si="15"/>
        <v>543.6666667</v>
      </c>
      <c r="AC60" s="35">
        <f t="shared" si="16"/>
        <v>389</v>
      </c>
      <c r="AD60" s="35" t="str">
        <f t="shared" si="17"/>
        <v>&gt;</v>
      </c>
      <c r="AE60" s="35">
        <f t="shared" si="18"/>
        <v>271.8333333</v>
      </c>
      <c r="AF60" s="78">
        <v>300.0</v>
      </c>
      <c r="AG60" s="76" t="str">
        <f t="shared" si="19"/>
        <v>SI</v>
      </c>
      <c r="AH60" s="76" t="str">
        <f t="shared" si="20"/>
        <v>SI</v>
      </c>
    </row>
    <row r="61" ht="24.0" customHeight="1">
      <c r="B61" s="72">
        <v>52.0</v>
      </c>
      <c r="C61" s="77" t="s">
        <v>100</v>
      </c>
      <c r="D61" s="72" t="s">
        <v>28</v>
      </c>
      <c r="E61" s="72" t="s">
        <v>28</v>
      </c>
      <c r="F61" s="72" t="s">
        <v>28</v>
      </c>
      <c r="G61" s="72" t="s">
        <v>28</v>
      </c>
      <c r="H61" s="72" t="s">
        <v>28</v>
      </c>
      <c r="I61" s="72" t="s">
        <v>28</v>
      </c>
      <c r="J61" s="72" t="s">
        <v>28</v>
      </c>
      <c r="K61" s="72" t="s">
        <v>28</v>
      </c>
      <c r="L61" s="70">
        <v>1000.0</v>
      </c>
      <c r="M61" s="70">
        <v>1058.0</v>
      </c>
      <c r="N61" s="70">
        <v>1136.0</v>
      </c>
      <c r="O61" s="72" t="s">
        <v>28</v>
      </c>
      <c r="P61" s="72" t="s">
        <v>28</v>
      </c>
      <c r="Q61" s="72" t="s">
        <v>28</v>
      </c>
      <c r="R61" s="72" t="s">
        <v>28</v>
      </c>
      <c r="S61" s="72" t="s">
        <v>28</v>
      </c>
      <c r="T61" s="72" t="s">
        <v>28</v>
      </c>
      <c r="U61" s="72" t="s">
        <v>28</v>
      </c>
      <c r="V61" s="72" t="s">
        <v>28</v>
      </c>
      <c r="W61" s="72" t="s">
        <v>28</v>
      </c>
      <c r="X61" s="72" t="s">
        <v>28</v>
      </c>
      <c r="Y61" s="72" t="s">
        <v>28</v>
      </c>
      <c r="Z61" s="72" t="s">
        <v>28</v>
      </c>
      <c r="AA61" s="72" t="s">
        <v>28</v>
      </c>
      <c r="AB61" s="35">
        <f t="shared" si="15"/>
        <v>1064.666667</v>
      </c>
      <c r="AC61" s="35">
        <f t="shared" si="16"/>
        <v>1000</v>
      </c>
      <c r="AD61" s="35" t="str">
        <f t="shared" si="17"/>
        <v>&gt;</v>
      </c>
      <c r="AE61" s="35">
        <f t="shared" si="18"/>
        <v>532.3333333</v>
      </c>
      <c r="AF61" s="78">
        <v>300.0</v>
      </c>
      <c r="AG61" s="76" t="str">
        <f t="shared" si="19"/>
        <v>SI</v>
      </c>
      <c r="AH61" s="76" t="str">
        <f t="shared" si="20"/>
        <v>SI</v>
      </c>
    </row>
    <row r="62" ht="24.0" customHeight="1">
      <c r="B62" s="72">
        <v>53.0</v>
      </c>
      <c r="C62" s="77" t="s">
        <v>88</v>
      </c>
      <c r="D62" s="72" t="s">
        <v>28</v>
      </c>
      <c r="E62" s="72" t="s">
        <v>28</v>
      </c>
      <c r="F62" s="72" t="s">
        <v>28</v>
      </c>
      <c r="G62" s="72" t="s">
        <v>28</v>
      </c>
      <c r="H62" s="72" t="s">
        <v>28</v>
      </c>
      <c r="I62" s="72" t="s">
        <v>28</v>
      </c>
      <c r="J62" s="72" t="s">
        <v>28</v>
      </c>
      <c r="K62" s="72" t="s">
        <v>28</v>
      </c>
      <c r="L62" s="70">
        <v>457.0</v>
      </c>
      <c r="M62" s="70">
        <v>492.0</v>
      </c>
      <c r="N62" s="70">
        <v>461.0</v>
      </c>
      <c r="O62" s="70">
        <v>469.0</v>
      </c>
      <c r="P62" s="70">
        <v>472.0</v>
      </c>
      <c r="Q62" s="70">
        <v>386.0</v>
      </c>
      <c r="R62" s="70">
        <v>360.0</v>
      </c>
      <c r="S62" s="70">
        <v>345.0</v>
      </c>
      <c r="T62" s="70">
        <v>376.0</v>
      </c>
      <c r="U62" s="72" t="s">
        <v>28</v>
      </c>
      <c r="V62" s="72" t="s">
        <v>28</v>
      </c>
      <c r="W62" s="72" t="s">
        <v>28</v>
      </c>
      <c r="X62" s="72" t="s">
        <v>28</v>
      </c>
      <c r="Y62" s="72" t="s">
        <v>28</v>
      </c>
      <c r="Z62" s="72" t="s">
        <v>28</v>
      </c>
      <c r="AA62" s="72" t="s">
        <v>28</v>
      </c>
      <c r="AB62" s="35">
        <f t="shared" si="15"/>
        <v>424.2222222</v>
      </c>
      <c r="AC62" s="35">
        <f t="shared" si="16"/>
        <v>345</v>
      </c>
      <c r="AD62" s="35" t="str">
        <f t="shared" si="17"/>
        <v>&gt;</v>
      </c>
      <c r="AE62" s="35">
        <f t="shared" si="18"/>
        <v>212.1111111</v>
      </c>
      <c r="AF62" s="78">
        <v>300.0</v>
      </c>
      <c r="AG62" s="76" t="str">
        <f t="shared" si="19"/>
        <v>SI</v>
      </c>
      <c r="AH62" s="76" t="str">
        <f t="shared" si="20"/>
        <v>SI</v>
      </c>
    </row>
    <row r="63" ht="24.0" customHeight="1">
      <c r="B63" s="72">
        <v>54.0</v>
      </c>
      <c r="C63" s="77" t="s">
        <v>89</v>
      </c>
      <c r="D63" s="72" t="s">
        <v>28</v>
      </c>
      <c r="E63" s="72" t="s">
        <v>28</v>
      </c>
      <c r="F63" s="72" t="s">
        <v>28</v>
      </c>
      <c r="G63" s="72" t="s">
        <v>28</v>
      </c>
      <c r="H63" s="72" t="s">
        <v>28</v>
      </c>
      <c r="I63" s="72" t="s">
        <v>28</v>
      </c>
      <c r="J63" s="72" t="s">
        <v>28</v>
      </c>
      <c r="K63" s="72" t="s">
        <v>28</v>
      </c>
      <c r="L63" s="70">
        <v>309.0</v>
      </c>
      <c r="M63" s="70">
        <v>279.0</v>
      </c>
      <c r="N63" s="72" t="s">
        <v>28</v>
      </c>
      <c r="O63" s="72" t="s">
        <v>28</v>
      </c>
      <c r="P63" s="72" t="s">
        <v>28</v>
      </c>
      <c r="Q63" s="72" t="s">
        <v>28</v>
      </c>
      <c r="R63" s="72" t="s">
        <v>28</v>
      </c>
      <c r="S63" s="72" t="s">
        <v>28</v>
      </c>
      <c r="T63" s="72" t="s">
        <v>28</v>
      </c>
      <c r="U63" s="72" t="s">
        <v>28</v>
      </c>
      <c r="V63" s="72" t="s">
        <v>28</v>
      </c>
      <c r="W63" s="72" t="s">
        <v>28</v>
      </c>
      <c r="X63" s="72" t="s">
        <v>28</v>
      </c>
      <c r="Y63" s="72" t="s">
        <v>28</v>
      </c>
      <c r="Z63" s="72" t="s">
        <v>28</v>
      </c>
      <c r="AA63" s="72" t="s">
        <v>28</v>
      </c>
      <c r="AB63" s="35">
        <f t="shared" si="15"/>
        <v>294</v>
      </c>
      <c r="AC63" s="35">
        <f t="shared" si="16"/>
        <v>279</v>
      </c>
      <c r="AD63" s="35" t="str">
        <f t="shared" si="17"/>
        <v>&gt;</v>
      </c>
      <c r="AE63" s="35">
        <f t="shared" si="18"/>
        <v>147</v>
      </c>
      <c r="AF63" s="78">
        <v>100.0</v>
      </c>
      <c r="AG63" s="76" t="str">
        <f t="shared" si="19"/>
        <v>SI</v>
      </c>
      <c r="AH63" s="76" t="str">
        <f t="shared" si="20"/>
        <v>SI</v>
      </c>
    </row>
    <row r="64" ht="26.25" customHeight="1">
      <c r="B64" s="72">
        <v>55.0</v>
      </c>
      <c r="C64" s="77" t="s">
        <v>71</v>
      </c>
      <c r="D64" s="72">
        <v>12.0</v>
      </c>
      <c r="E64" s="72">
        <v>6.0</v>
      </c>
      <c r="F64" s="72">
        <v>4.0</v>
      </c>
      <c r="G64" s="72">
        <f>+(D64*E64)/(F64*(D64+E64))</f>
        <v>1</v>
      </c>
      <c r="H64" s="72">
        <v>1.0</v>
      </c>
      <c r="I64" s="72">
        <v>2.0</v>
      </c>
      <c r="J64" s="72">
        <f>+H64+I64</f>
        <v>3</v>
      </c>
      <c r="K64" s="72">
        <f>POWER(J64,2)</f>
        <v>9</v>
      </c>
      <c r="L64" s="70">
        <v>36.0</v>
      </c>
      <c r="M64" s="70">
        <v>56.0</v>
      </c>
      <c r="N64" s="70">
        <v>86.0</v>
      </c>
      <c r="O64" s="70">
        <v>103.0</v>
      </c>
      <c r="P64" s="70">
        <v>60.0</v>
      </c>
      <c r="Q64" s="70">
        <v>84.0</v>
      </c>
      <c r="R64" s="70">
        <v>57.0</v>
      </c>
      <c r="S64" s="70">
        <v>175.0</v>
      </c>
      <c r="T64" s="70">
        <v>262.0</v>
      </c>
      <c r="U64" s="72" t="s">
        <v>28</v>
      </c>
      <c r="V64" s="72" t="s">
        <v>28</v>
      </c>
      <c r="W64" s="72" t="s">
        <v>28</v>
      </c>
      <c r="X64" s="72" t="s">
        <v>28</v>
      </c>
      <c r="Y64" s="72" t="s">
        <v>28</v>
      </c>
      <c r="Z64" s="72" t="s">
        <v>28</v>
      </c>
      <c r="AA64" s="72" t="s">
        <v>28</v>
      </c>
      <c r="AB64" s="35">
        <f t="shared" si="15"/>
        <v>102.1111111</v>
      </c>
      <c r="AC64" s="35">
        <f t="shared" si="16"/>
        <v>36</v>
      </c>
      <c r="AD64" s="35" t="str">
        <f t="shared" si="17"/>
        <v>&lt;</v>
      </c>
      <c r="AE64" s="35">
        <f t="shared" si="18"/>
        <v>51.05555556</v>
      </c>
      <c r="AF64" s="78">
        <v>300.0</v>
      </c>
      <c r="AG64" s="76" t="str">
        <f t="shared" si="19"/>
        <v>NO</v>
      </c>
      <c r="AH64" s="76" t="str">
        <f t="shared" si="20"/>
        <v>NO</v>
      </c>
    </row>
    <row r="65" ht="15.75" customHeight="1"/>
    <row r="66" ht="15.75" customHeight="1">
      <c r="L66" s="83">
        <v>418.0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G77" s="84">
        <f>AVERAGE(F53:H76)</f>
        <v>1.706159373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F5:AF7"/>
    <mergeCell ref="AG5:AG7"/>
    <mergeCell ref="I32:I33"/>
    <mergeCell ref="J32:J33"/>
    <mergeCell ref="D32:F32"/>
    <mergeCell ref="L32:Z32"/>
    <mergeCell ref="AB32:AB33"/>
    <mergeCell ref="AC32:AE33"/>
    <mergeCell ref="AF32:AF33"/>
    <mergeCell ref="AG32:AG33"/>
    <mergeCell ref="I5:I7"/>
    <mergeCell ref="J5:J7"/>
    <mergeCell ref="K5:K7"/>
    <mergeCell ref="B31:AH31"/>
    <mergeCell ref="B32:B33"/>
    <mergeCell ref="C32:C33"/>
    <mergeCell ref="K32:K33"/>
    <mergeCell ref="AH32:AH33"/>
    <mergeCell ref="D3:F3"/>
    <mergeCell ref="L3:Z3"/>
    <mergeCell ref="C1:Z1"/>
    <mergeCell ref="B2:AA2"/>
    <mergeCell ref="B3:B4"/>
    <mergeCell ref="C3:C4"/>
    <mergeCell ref="G3:G4"/>
    <mergeCell ref="H3:H4"/>
    <mergeCell ref="K3:K4"/>
    <mergeCell ref="G5:G7"/>
    <mergeCell ref="H5:H7"/>
    <mergeCell ref="I3:I4"/>
    <mergeCell ref="J3:J4"/>
    <mergeCell ref="B5:B7"/>
    <mergeCell ref="C5:C7"/>
    <mergeCell ref="D5:D7"/>
    <mergeCell ref="E5:E7"/>
    <mergeCell ref="F5:F7"/>
    <mergeCell ref="AD5:AD7"/>
    <mergeCell ref="AE5:AE7"/>
    <mergeCell ref="AB3:AB4"/>
    <mergeCell ref="AC3:AE4"/>
    <mergeCell ref="AF3:AF4"/>
    <mergeCell ref="AG3:AG4"/>
    <mergeCell ref="AH3:AH4"/>
    <mergeCell ref="AB5:AB7"/>
    <mergeCell ref="AC5:AC7"/>
    <mergeCell ref="AH5:AH7"/>
    <mergeCell ref="G32:G33"/>
    <mergeCell ref="H32:H33"/>
  </mergeCells>
  <conditionalFormatting sqref="AG5:AH5 AG8:AH15 AG19:AH19 AG21:AH22 AG24:AH29 AG36 AG38 AG40:AH40 AG44:AH49 AH36:AH38">
    <cfRule type="cellIs" dxfId="0" priority="1" stopIfTrue="1" operator="equal">
      <formula>"NO"</formula>
    </cfRule>
  </conditionalFormatting>
  <conditionalFormatting sqref="AG30:AH30 AG34:AH35">
    <cfRule type="cellIs" dxfId="0" priority="2" stopIfTrue="1" operator="equal">
      <formula>"NO"</formula>
    </cfRule>
  </conditionalFormatting>
  <conditionalFormatting sqref="AG41:AH41">
    <cfRule type="cellIs" dxfId="0" priority="3" stopIfTrue="1" operator="equal">
      <formula>"NO"</formula>
    </cfRule>
  </conditionalFormatting>
  <conditionalFormatting sqref="AG17:AH17">
    <cfRule type="cellIs" dxfId="0" priority="4" stopIfTrue="1" operator="equal">
      <formula>"NO"</formula>
    </cfRule>
  </conditionalFormatting>
  <conditionalFormatting sqref="AG39:AH39">
    <cfRule type="cellIs" dxfId="0" priority="5" stopIfTrue="1" operator="equal">
      <formula>"NO"</formula>
    </cfRule>
  </conditionalFormatting>
  <conditionalFormatting sqref="AG43:AH43">
    <cfRule type="cellIs" dxfId="0" priority="6" stopIfTrue="1" operator="equal">
      <formula>"NO"</formula>
    </cfRule>
  </conditionalFormatting>
  <conditionalFormatting sqref="AG42:AH42">
    <cfRule type="cellIs" dxfId="0" priority="7" stopIfTrue="1" operator="equal">
      <formula>"NO"</formula>
    </cfRule>
  </conditionalFormatting>
  <conditionalFormatting sqref="AG50:AH64">
    <cfRule type="cellIs" dxfId="0" priority="8" stopIfTrue="1" operator="equal">
      <formula>"NO"</formula>
    </cfRule>
  </conditionalFormatting>
  <conditionalFormatting sqref="AG37">
    <cfRule type="cellIs" dxfId="0" priority="9" stopIfTrue="1" operator="equal">
      <formula>"NO"</formula>
    </cfRule>
  </conditionalFormatting>
  <conditionalFormatting sqref="AG16:AH16">
    <cfRule type="cellIs" dxfId="0" priority="10" stopIfTrue="1" operator="equal">
      <formula>"NO"</formula>
    </cfRule>
  </conditionalFormatting>
  <conditionalFormatting sqref="AG18:AH18">
    <cfRule type="cellIs" dxfId="0" priority="11" stopIfTrue="1" operator="equal">
      <formula>"NO"</formula>
    </cfRule>
  </conditionalFormatting>
  <conditionalFormatting sqref="AG20:AH20">
    <cfRule type="cellIs" dxfId="0" priority="12" stopIfTrue="1" operator="equal">
      <formula>"NO"</formula>
    </cfRule>
  </conditionalFormatting>
  <conditionalFormatting sqref="AG23:AH23">
    <cfRule type="cellIs" dxfId="0" priority="13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7.57"/>
    <col customWidth="1" min="3" max="3" width="30.29"/>
    <col customWidth="1" min="4" max="5" width="6.14"/>
    <col customWidth="1" min="6" max="6" width="5.43"/>
    <col customWidth="1" min="7" max="7" width="5.71"/>
    <col customWidth="1" min="8" max="8" width="5.0"/>
    <col customWidth="1" min="9" max="9" width="6.86"/>
    <col customWidth="1" min="10" max="10" width="5.71"/>
    <col customWidth="1" min="11" max="11" width="5.57"/>
    <col customWidth="1" min="12" max="12" width="5.29"/>
    <col customWidth="1" min="13" max="24" width="4.43"/>
    <col customWidth="1" min="25" max="25" width="4.57"/>
    <col customWidth="1" min="26" max="26" width="5.0"/>
    <col customWidth="1" min="27" max="27" width="4.29"/>
    <col customWidth="1" min="28" max="28" width="5.86"/>
    <col customWidth="1" min="29" max="29" width="4.43"/>
    <col customWidth="1" min="30" max="30" width="2.71"/>
    <col customWidth="1" min="31" max="31" width="3.71"/>
    <col customWidth="1" min="32" max="32" width="7.0"/>
    <col customWidth="1" min="33" max="33" width="10.29"/>
    <col customWidth="1" min="34" max="34" width="6.71"/>
  </cols>
  <sheetData>
    <row r="1">
      <c r="C1" s="59" t="s">
        <v>0</v>
      </c>
      <c r="AA1" s="59"/>
    </row>
    <row r="2">
      <c r="B2" s="60" t="s">
        <v>87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4"/>
    </row>
    <row r="3">
      <c r="B3" s="11" t="s">
        <v>94</v>
      </c>
      <c r="C3" s="11" t="s">
        <v>4</v>
      </c>
      <c r="D3" s="62" t="s">
        <v>5</v>
      </c>
      <c r="E3" s="8"/>
      <c r="F3" s="9"/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62" t="s">
        <v>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63"/>
      <c r="AB3" s="11" t="s">
        <v>15</v>
      </c>
      <c r="AC3" s="64" t="s">
        <v>14</v>
      </c>
      <c r="AD3" s="13"/>
      <c r="AE3" s="14"/>
      <c r="AF3" s="11" t="s">
        <v>16</v>
      </c>
      <c r="AG3" s="11" t="s">
        <v>17</v>
      </c>
      <c r="AH3" s="11" t="s">
        <v>18</v>
      </c>
    </row>
    <row r="4" ht="27.0" customHeight="1">
      <c r="B4" s="15"/>
      <c r="C4" s="15"/>
      <c r="D4" s="65" t="s">
        <v>21</v>
      </c>
      <c r="E4" s="65" t="s">
        <v>22</v>
      </c>
      <c r="F4" s="65" t="s">
        <v>23</v>
      </c>
      <c r="G4" s="15"/>
      <c r="H4" s="15"/>
      <c r="I4" s="15"/>
      <c r="J4" s="15"/>
      <c r="K4" s="15"/>
      <c r="L4" s="66">
        <v>1.0</v>
      </c>
      <c r="M4" s="66">
        <v>2.0</v>
      </c>
      <c r="N4" s="66">
        <v>3.0</v>
      </c>
      <c r="O4" s="66">
        <v>4.0</v>
      </c>
      <c r="P4" s="66">
        <v>5.0</v>
      </c>
      <c r="Q4" s="66">
        <v>6.0</v>
      </c>
      <c r="R4" s="66">
        <v>7.0</v>
      </c>
      <c r="S4" s="66">
        <v>8.0</v>
      </c>
      <c r="T4" s="66">
        <v>9.0</v>
      </c>
      <c r="U4" s="66">
        <v>10.0</v>
      </c>
      <c r="V4" s="66">
        <v>11.0</v>
      </c>
      <c r="W4" s="66">
        <v>12.0</v>
      </c>
      <c r="X4" s="66">
        <v>13.0</v>
      </c>
      <c r="Y4" s="66">
        <v>14.0</v>
      </c>
      <c r="Z4" s="66">
        <v>15.0</v>
      </c>
      <c r="AA4" s="66">
        <v>16.0</v>
      </c>
      <c r="AB4" s="15"/>
      <c r="AC4" s="18"/>
      <c r="AD4" s="19"/>
      <c r="AE4" s="20"/>
      <c r="AF4" s="15"/>
      <c r="AG4" s="15"/>
      <c r="AH4" s="15"/>
    </row>
    <row r="5">
      <c r="B5" s="67">
        <v>1.0</v>
      </c>
      <c r="C5" s="68" t="s">
        <v>95</v>
      </c>
      <c r="D5" s="67">
        <v>58.0</v>
      </c>
      <c r="E5" s="67">
        <v>70.0</v>
      </c>
      <c r="F5" s="67">
        <v>4.25</v>
      </c>
      <c r="G5" s="69">
        <f>+(D5*E5)/(F5*(D5+E5))</f>
        <v>7.463235294</v>
      </c>
      <c r="H5" s="67">
        <v>4.0</v>
      </c>
      <c r="I5" s="67">
        <v>2.0</v>
      </c>
      <c r="J5" s="67">
        <f>+H5+I5</f>
        <v>6</v>
      </c>
      <c r="K5" s="67">
        <f>POWER(J5,2)</f>
        <v>36</v>
      </c>
      <c r="L5" s="85">
        <v>370.0</v>
      </c>
      <c r="M5" s="85">
        <v>377.0</v>
      </c>
      <c r="N5" s="85">
        <v>360.0</v>
      </c>
      <c r="O5" s="85">
        <v>303.0</v>
      </c>
      <c r="P5" s="85">
        <v>299.0</v>
      </c>
      <c r="Q5" s="85">
        <v>270.0</v>
      </c>
      <c r="R5" s="85">
        <v>325.0</v>
      </c>
      <c r="S5" s="85">
        <v>254.0</v>
      </c>
      <c r="T5" s="85">
        <v>325.0</v>
      </c>
      <c r="U5" s="85">
        <v>284.0</v>
      </c>
      <c r="V5" s="85">
        <v>298.0</v>
      </c>
      <c r="W5" s="85">
        <v>188.0</v>
      </c>
      <c r="X5" s="85">
        <v>145.0</v>
      </c>
      <c r="Y5" s="85">
        <v>337.0</v>
      </c>
      <c r="Z5" s="85">
        <v>370.0</v>
      </c>
      <c r="AA5" s="85">
        <v>332.0</v>
      </c>
      <c r="AB5" s="24">
        <f>AVERAGE(L5:AA7)</f>
        <v>294.5277778</v>
      </c>
      <c r="AC5" s="67">
        <f>MIN(L5:Z6)</f>
        <v>145</v>
      </c>
      <c r="AD5" s="67" t="str">
        <f>IF(AC5&gt;AE5,"&gt;","&lt;")</f>
        <v>&lt;</v>
      </c>
      <c r="AE5" s="67">
        <f>+AB5/2</f>
        <v>147.2638889</v>
      </c>
      <c r="AF5" s="67">
        <v>500.0</v>
      </c>
      <c r="AG5" s="71" t="str">
        <f>IF(AC5&gt;AE5,"SI","NO")</f>
        <v>NO</v>
      </c>
      <c r="AH5" s="71" t="str">
        <f>IF(AB5&gt;AF5,"SI","NO")</f>
        <v>NO</v>
      </c>
    </row>
    <row r="6">
      <c r="B6" s="28"/>
      <c r="C6" s="28"/>
      <c r="D6" s="28"/>
      <c r="E6" s="28"/>
      <c r="F6" s="28"/>
      <c r="G6" s="28"/>
      <c r="H6" s="28"/>
      <c r="I6" s="28"/>
      <c r="J6" s="28"/>
      <c r="K6" s="28"/>
      <c r="L6" s="85">
        <v>251.0</v>
      </c>
      <c r="M6" s="85">
        <v>202.0</v>
      </c>
      <c r="N6" s="85">
        <v>293.0</v>
      </c>
      <c r="O6" s="85">
        <v>288.0</v>
      </c>
      <c r="P6" s="85">
        <v>211.0</v>
      </c>
      <c r="Q6" s="85">
        <v>151.0</v>
      </c>
      <c r="R6" s="85">
        <v>194.0</v>
      </c>
      <c r="S6" s="85">
        <v>275.0</v>
      </c>
      <c r="T6" s="85">
        <v>330.0</v>
      </c>
      <c r="U6" s="85">
        <v>311.0</v>
      </c>
      <c r="V6" s="85">
        <v>260.0</v>
      </c>
      <c r="W6" s="85">
        <v>332.0</v>
      </c>
      <c r="X6" s="85">
        <v>239.0</v>
      </c>
      <c r="Y6" s="85">
        <v>287.0</v>
      </c>
      <c r="Z6" s="85">
        <v>297.0</v>
      </c>
      <c r="AA6" s="85">
        <v>306.0</v>
      </c>
      <c r="AB6" s="28"/>
      <c r="AC6" s="28"/>
      <c r="AD6" s="28"/>
      <c r="AE6" s="28"/>
      <c r="AF6" s="28"/>
      <c r="AG6" s="28"/>
      <c r="AH6" s="28"/>
    </row>
    <row r="7">
      <c r="B7" s="15"/>
      <c r="C7" s="15"/>
      <c r="D7" s="15"/>
      <c r="E7" s="15"/>
      <c r="F7" s="15"/>
      <c r="G7" s="15"/>
      <c r="H7" s="15"/>
      <c r="I7" s="15"/>
      <c r="J7" s="15"/>
      <c r="K7" s="15"/>
      <c r="L7" s="85">
        <v>348.0</v>
      </c>
      <c r="M7" s="85">
        <v>390.0</v>
      </c>
      <c r="N7" s="85">
        <v>399.0</v>
      </c>
      <c r="O7" s="85">
        <v>402.0</v>
      </c>
      <c r="P7" s="86" t="s">
        <v>28</v>
      </c>
      <c r="Q7" s="86" t="s">
        <v>28</v>
      </c>
      <c r="R7" s="86" t="s">
        <v>28</v>
      </c>
      <c r="S7" s="86" t="s">
        <v>28</v>
      </c>
      <c r="T7" s="86" t="s">
        <v>28</v>
      </c>
      <c r="U7" s="86" t="s">
        <v>28</v>
      </c>
      <c r="V7" s="86" t="s">
        <v>28</v>
      </c>
      <c r="W7" s="86" t="s">
        <v>28</v>
      </c>
      <c r="X7" s="86" t="s">
        <v>28</v>
      </c>
      <c r="Y7" s="86" t="s">
        <v>28</v>
      </c>
      <c r="Z7" s="86" t="s">
        <v>28</v>
      </c>
      <c r="AA7" s="86" t="s">
        <v>28</v>
      </c>
      <c r="AB7" s="15"/>
      <c r="AC7" s="15"/>
      <c r="AD7" s="15"/>
      <c r="AE7" s="15"/>
      <c r="AF7" s="15"/>
      <c r="AG7" s="15"/>
      <c r="AH7" s="15"/>
    </row>
    <row r="8">
      <c r="B8" s="73">
        <v>2.0</v>
      </c>
      <c r="C8" s="74" t="s">
        <v>25</v>
      </c>
      <c r="D8" s="72">
        <v>5.05</v>
      </c>
      <c r="E8" s="72">
        <v>38.25</v>
      </c>
      <c r="F8" s="72">
        <v>4.25</v>
      </c>
      <c r="G8" s="69">
        <f t="shared" ref="G8:G12" si="1">+(D8*E8)/(F8*(D8+E8))</f>
        <v>1.04965358</v>
      </c>
      <c r="H8" s="72">
        <v>1.0</v>
      </c>
      <c r="I8" s="72">
        <v>2.0</v>
      </c>
      <c r="J8" s="72">
        <f t="shared" ref="J8:J12" si="2">+H8+I8</f>
        <v>3</v>
      </c>
      <c r="K8" s="72">
        <f t="shared" ref="K8:K12" si="3">POWER(J8,2)</f>
        <v>9</v>
      </c>
      <c r="L8" s="85">
        <v>430.0</v>
      </c>
      <c r="M8" s="85">
        <v>419.0</v>
      </c>
      <c r="N8" s="85">
        <v>393.0</v>
      </c>
      <c r="O8" s="85">
        <v>385.0</v>
      </c>
      <c r="P8" s="85">
        <v>278.0</v>
      </c>
      <c r="Q8" s="85">
        <v>323.0</v>
      </c>
      <c r="R8" s="85">
        <v>313.0</v>
      </c>
      <c r="S8" s="85">
        <v>417.0</v>
      </c>
      <c r="T8" s="85">
        <v>413.0</v>
      </c>
      <c r="U8" s="86" t="s">
        <v>28</v>
      </c>
      <c r="V8" s="86" t="s">
        <v>28</v>
      </c>
      <c r="W8" s="86" t="s">
        <v>28</v>
      </c>
      <c r="X8" s="86" t="s">
        <v>28</v>
      </c>
      <c r="Y8" s="86" t="s">
        <v>28</v>
      </c>
      <c r="Z8" s="86" t="s">
        <v>28</v>
      </c>
      <c r="AA8" s="86" t="s">
        <v>28</v>
      </c>
      <c r="AB8" s="35">
        <f t="shared" ref="AB8:AB30" si="4">AVERAGE(L8:AA8)</f>
        <v>374.5555556</v>
      </c>
      <c r="AC8" s="35">
        <f t="shared" ref="AC8:AC14" si="5">MIN(L8:Z8)</f>
        <v>278</v>
      </c>
      <c r="AD8" s="35" t="str">
        <f t="shared" ref="AD8:AD30" si="6">IF(AC8&gt;AE8,"&gt;","&lt;")</f>
        <v>&gt;</v>
      </c>
      <c r="AE8" s="35">
        <f t="shared" ref="AE8:AE30" si="7">+AB8/2</f>
        <v>187.2777778</v>
      </c>
      <c r="AF8" s="75">
        <v>500.0</v>
      </c>
      <c r="AG8" s="76" t="str">
        <f t="shared" ref="AG8:AG30" si="8">IF(AC8&gt;AE8,"SI","NO")</f>
        <v>SI</v>
      </c>
      <c r="AH8" s="76" t="str">
        <f t="shared" ref="AH8:AH30" si="9">IF(AB8&gt;AF8,"SI","NO")</f>
        <v>NO</v>
      </c>
    </row>
    <row r="9">
      <c r="B9" s="72">
        <v>3.0</v>
      </c>
      <c r="C9" s="77" t="s">
        <v>26</v>
      </c>
      <c r="D9" s="72">
        <v>7.22</v>
      </c>
      <c r="E9" s="72">
        <v>2.39</v>
      </c>
      <c r="F9" s="72">
        <v>4.25</v>
      </c>
      <c r="G9" s="69">
        <f t="shared" si="1"/>
        <v>0.4224961743</v>
      </c>
      <c r="H9" s="72">
        <v>1.0</v>
      </c>
      <c r="I9" s="72">
        <v>2.0</v>
      </c>
      <c r="J9" s="72">
        <f t="shared" si="2"/>
        <v>3</v>
      </c>
      <c r="K9" s="72">
        <f t="shared" si="3"/>
        <v>9</v>
      </c>
      <c r="L9" s="85">
        <v>544.0</v>
      </c>
      <c r="M9" s="85">
        <v>600.0</v>
      </c>
      <c r="N9" s="85">
        <v>563.0</v>
      </c>
      <c r="O9" s="85">
        <v>483.0</v>
      </c>
      <c r="P9" s="85">
        <v>524.0</v>
      </c>
      <c r="Q9" s="85">
        <v>505.0</v>
      </c>
      <c r="R9" s="85">
        <v>567.0</v>
      </c>
      <c r="S9" s="85">
        <v>419.0</v>
      </c>
      <c r="T9" s="85" t="s">
        <v>28</v>
      </c>
      <c r="U9" s="86" t="s">
        <v>28</v>
      </c>
      <c r="V9" s="86" t="s">
        <v>28</v>
      </c>
      <c r="W9" s="86" t="s">
        <v>28</v>
      </c>
      <c r="X9" s="86" t="s">
        <v>28</v>
      </c>
      <c r="Y9" s="86" t="s">
        <v>28</v>
      </c>
      <c r="Z9" s="86" t="s">
        <v>28</v>
      </c>
      <c r="AA9" s="86" t="s">
        <v>28</v>
      </c>
      <c r="AB9" s="35">
        <f t="shared" si="4"/>
        <v>525.625</v>
      </c>
      <c r="AC9" s="35">
        <f t="shared" si="5"/>
        <v>419</v>
      </c>
      <c r="AD9" s="35" t="str">
        <f t="shared" si="6"/>
        <v>&gt;</v>
      </c>
      <c r="AE9" s="35">
        <f t="shared" si="7"/>
        <v>262.8125</v>
      </c>
      <c r="AF9" s="78">
        <v>500.0</v>
      </c>
      <c r="AG9" s="76" t="str">
        <f t="shared" si="8"/>
        <v>SI</v>
      </c>
      <c r="AH9" s="76" t="str">
        <f t="shared" si="9"/>
        <v>SI</v>
      </c>
    </row>
    <row r="10">
      <c r="B10" s="72">
        <v>4.0</v>
      </c>
      <c r="C10" s="77" t="s">
        <v>27</v>
      </c>
      <c r="D10" s="72">
        <v>2.49</v>
      </c>
      <c r="E10" s="72">
        <v>3.26</v>
      </c>
      <c r="F10" s="72">
        <v>2.88</v>
      </c>
      <c r="G10" s="69">
        <f t="shared" si="1"/>
        <v>0.4901811594</v>
      </c>
      <c r="H10" s="72">
        <v>1.0</v>
      </c>
      <c r="I10" s="72">
        <v>2.0</v>
      </c>
      <c r="J10" s="72">
        <f t="shared" si="2"/>
        <v>3</v>
      </c>
      <c r="K10" s="72">
        <f t="shared" si="3"/>
        <v>9</v>
      </c>
      <c r="L10" s="85">
        <v>163.0</v>
      </c>
      <c r="M10" s="85">
        <v>177.0</v>
      </c>
      <c r="N10" s="85">
        <v>142.0</v>
      </c>
      <c r="O10" s="85">
        <v>178.0</v>
      </c>
      <c r="P10" s="85">
        <v>193.0</v>
      </c>
      <c r="Q10" s="85">
        <v>151.0</v>
      </c>
      <c r="R10" s="85">
        <v>189.0</v>
      </c>
      <c r="S10" s="85">
        <v>106.0</v>
      </c>
      <c r="T10" s="85" t="s">
        <v>28</v>
      </c>
      <c r="U10" s="86" t="s">
        <v>28</v>
      </c>
      <c r="V10" s="86" t="s">
        <v>28</v>
      </c>
      <c r="W10" s="86" t="s">
        <v>28</v>
      </c>
      <c r="X10" s="86" t="s">
        <v>28</v>
      </c>
      <c r="Y10" s="86" t="s">
        <v>28</v>
      </c>
      <c r="Z10" s="86" t="s">
        <v>28</v>
      </c>
      <c r="AA10" s="86" t="s">
        <v>28</v>
      </c>
      <c r="AB10" s="35">
        <f t="shared" si="4"/>
        <v>162.375</v>
      </c>
      <c r="AC10" s="35">
        <f t="shared" si="5"/>
        <v>106</v>
      </c>
      <c r="AD10" s="35" t="str">
        <f t="shared" si="6"/>
        <v>&gt;</v>
      </c>
      <c r="AE10" s="35">
        <f t="shared" si="7"/>
        <v>81.1875</v>
      </c>
      <c r="AF10" s="78">
        <v>100.0</v>
      </c>
      <c r="AG10" s="76" t="str">
        <f t="shared" si="8"/>
        <v>SI</v>
      </c>
      <c r="AH10" s="76" t="str">
        <f t="shared" si="9"/>
        <v>SI</v>
      </c>
    </row>
    <row r="11">
      <c r="B11" s="73">
        <v>5.0</v>
      </c>
      <c r="C11" s="77" t="s">
        <v>96</v>
      </c>
      <c r="D11" s="72">
        <v>3.78</v>
      </c>
      <c r="E11" s="72">
        <v>3.66</v>
      </c>
      <c r="F11" s="72">
        <v>2.88</v>
      </c>
      <c r="G11" s="69">
        <f t="shared" si="1"/>
        <v>0.6456653226</v>
      </c>
      <c r="H11" s="72">
        <v>1.0</v>
      </c>
      <c r="I11" s="72">
        <v>2.0</v>
      </c>
      <c r="J11" s="72">
        <f t="shared" si="2"/>
        <v>3</v>
      </c>
      <c r="K11" s="72">
        <f t="shared" si="3"/>
        <v>9</v>
      </c>
      <c r="L11" s="85">
        <v>211.0</v>
      </c>
      <c r="M11" s="85">
        <v>203.0</v>
      </c>
      <c r="N11" s="85">
        <v>168.0</v>
      </c>
      <c r="O11" s="85">
        <v>234.0</v>
      </c>
      <c r="P11" s="85">
        <v>177.0</v>
      </c>
      <c r="Q11" s="85">
        <v>143.0</v>
      </c>
      <c r="R11" s="85">
        <v>167.0</v>
      </c>
      <c r="S11" s="85">
        <v>231.0</v>
      </c>
      <c r="T11" s="85">
        <v>132.0</v>
      </c>
      <c r="U11" s="86" t="s">
        <v>28</v>
      </c>
      <c r="V11" s="86" t="s">
        <v>28</v>
      </c>
      <c r="W11" s="86" t="s">
        <v>28</v>
      </c>
      <c r="X11" s="86" t="s">
        <v>28</v>
      </c>
      <c r="Y11" s="86" t="s">
        <v>28</v>
      </c>
      <c r="Z11" s="86" t="s">
        <v>28</v>
      </c>
      <c r="AA11" s="86" t="s">
        <v>28</v>
      </c>
      <c r="AB11" s="35">
        <f t="shared" si="4"/>
        <v>185.1111111</v>
      </c>
      <c r="AC11" s="35">
        <f t="shared" si="5"/>
        <v>132</v>
      </c>
      <c r="AD11" s="35" t="str">
        <f t="shared" si="6"/>
        <v>&gt;</v>
      </c>
      <c r="AE11" s="35">
        <f t="shared" si="7"/>
        <v>92.55555556</v>
      </c>
      <c r="AF11" s="78">
        <v>500.0</v>
      </c>
      <c r="AG11" s="76" t="str">
        <f t="shared" si="8"/>
        <v>SI</v>
      </c>
      <c r="AH11" s="76" t="str">
        <f t="shared" si="9"/>
        <v>NO</v>
      </c>
    </row>
    <row r="12">
      <c r="B12" s="72">
        <v>6.0</v>
      </c>
      <c r="C12" s="77" t="s">
        <v>30</v>
      </c>
      <c r="D12" s="72">
        <v>3.61</v>
      </c>
      <c r="E12" s="72">
        <v>6.15</v>
      </c>
      <c r="F12" s="72">
        <v>2.88</v>
      </c>
      <c r="G12" s="69">
        <f t="shared" si="1"/>
        <v>0.7898416154</v>
      </c>
      <c r="H12" s="72">
        <v>1.0</v>
      </c>
      <c r="I12" s="72">
        <v>2.0</v>
      </c>
      <c r="J12" s="72">
        <f t="shared" si="2"/>
        <v>3</v>
      </c>
      <c r="K12" s="72">
        <f t="shared" si="3"/>
        <v>9</v>
      </c>
      <c r="L12" s="85">
        <v>218.0</v>
      </c>
      <c r="M12" s="85">
        <v>193.0</v>
      </c>
      <c r="N12" s="85">
        <v>192.0</v>
      </c>
      <c r="O12" s="85">
        <v>170.0</v>
      </c>
      <c r="P12" s="85">
        <v>150.0</v>
      </c>
      <c r="Q12" s="85">
        <v>91.0</v>
      </c>
      <c r="R12" s="85">
        <v>107.0</v>
      </c>
      <c r="S12" s="85">
        <v>229.0</v>
      </c>
      <c r="T12" s="85">
        <v>221.0</v>
      </c>
      <c r="U12" s="86" t="s">
        <v>28</v>
      </c>
      <c r="V12" s="86" t="s">
        <v>28</v>
      </c>
      <c r="W12" s="86" t="s">
        <v>28</v>
      </c>
      <c r="X12" s="86" t="s">
        <v>28</v>
      </c>
      <c r="Y12" s="86" t="s">
        <v>28</v>
      </c>
      <c r="Z12" s="86" t="s">
        <v>28</v>
      </c>
      <c r="AA12" s="86" t="s">
        <v>28</v>
      </c>
      <c r="AB12" s="35">
        <f t="shared" si="4"/>
        <v>174.5555556</v>
      </c>
      <c r="AC12" s="35">
        <f t="shared" si="5"/>
        <v>91</v>
      </c>
      <c r="AD12" s="35" t="str">
        <f t="shared" si="6"/>
        <v>&gt;</v>
      </c>
      <c r="AE12" s="35">
        <f t="shared" si="7"/>
        <v>87.27777778</v>
      </c>
      <c r="AF12" s="78">
        <v>500.0</v>
      </c>
      <c r="AG12" s="76" t="str">
        <f t="shared" si="8"/>
        <v>SI</v>
      </c>
      <c r="AH12" s="76" t="str">
        <f t="shared" si="9"/>
        <v>NO</v>
      </c>
    </row>
    <row r="13">
      <c r="B13" s="72">
        <v>7.0</v>
      </c>
      <c r="C13" s="77" t="s">
        <v>31</v>
      </c>
      <c r="D13" s="86" t="s">
        <v>28</v>
      </c>
      <c r="E13" s="86" t="s">
        <v>28</v>
      </c>
      <c r="F13" s="86" t="s">
        <v>28</v>
      </c>
      <c r="G13" s="87" t="s">
        <v>28</v>
      </c>
      <c r="H13" s="86" t="s">
        <v>28</v>
      </c>
      <c r="I13" s="86" t="s">
        <v>28</v>
      </c>
      <c r="J13" s="86" t="s">
        <v>28</v>
      </c>
      <c r="K13" s="86" t="s">
        <v>28</v>
      </c>
      <c r="L13" s="85">
        <v>123.0</v>
      </c>
      <c r="M13" s="85">
        <v>136.0</v>
      </c>
      <c r="N13" s="85">
        <v>113.0</v>
      </c>
      <c r="O13" s="86" t="s">
        <v>28</v>
      </c>
      <c r="P13" s="86" t="s">
        <v>28</v>
      </c>
      <c r="Q13" s="86" t="s">
        <v>28</v>
      </c>
      <c r="R13" s="86" t="s">
        <v>28</v>
      </c>
      <c r="S13" s="86" t="s">
        <v>28</v>
      </c>
      <c r="T13" s="86" t="s">
        <v>28</v>
      </c>
      <c r="U13" s="86" t="s">
        <v>28</v>
      </c>
      <c r="V13" s="86" t="s">
        <v>28</v>
      </c>
      <c r="W13" s="86" t="s">
        <v>28</v>
      </c>
      <c r="X13" s="86" t="s">
        <v>28</v>
      </c>
      <c r="Y13" s="86" t="s">
        <v>28</v>
      </c>
      <c r="Z13" s="86" t="s">
        <v>28</v>
      </c>
      <c r="AA13" s="86" t="s">
        <v>28</v>
      </c>
      <c r="AB13" s="35">
        <f t="shared" si="4"/>
        <v>124</v>
      </c>
      <c r="AC13" s="35">
        <f t="shared" si="5"/>
        <v>113</v>
      </c>
      <c r="AD13" s="35" t="str">
        <f t="shared" si="6"/>
        <v>&gt;</v>
      </c>
      <c r="AE13" s="35">
        <f t="shared" si="7"/>
        <v>62</v>
      </c>
      <c r="AF13" s="78">
        <v>100.0</v>
      </c>
      <c r="AG13" s="76" t="str">
        <f t="shared" si="8"/>
        <v>SI</v>
      </c>
      <c r="AH13" s="76" t="str">
        <f t="shared" si="9"/>
        <v>SI</v>
      </c>
    </row>
    <row r="14">
      <c r="B14" s="73">
        <v>8.0</v>
      </c>
      <c r="C14" s="77" t="s">
        <v>32</v>
      </c>
      <c r="D14" s="72">
        <v>15.51</v>
      </c>
      <c r="E14" s="72">
        <v>5.08</v>
      </c>
      <c r="F14" s="72">
        <v>4.53</v>
      </c>
      <c r="G14" s="69">
        <f t="shared" ref="G14:G29" si="10">+(D14*E14)/(F14*(D14+E14))</f>
        <v>0.8447359195</v>
      </c>
      <c r="H14" s="72">
        <v>1.0</v>
      </c>
      <c r="I14" s="72">
        <v>2.0</v>
      </c>
      <c r="J14" s="72">
        <f t="shared" ref="J14:J29" si="11">+H14+I14</f>
        <v>3</v>
      </c>
      <c r="K14" s="72">
        <f t="shared" ref="K14:K29" si="12">POWER(J14,2)</f>
        <v>9</v>
      </c>
      <c r="L14" s="85">
        <v>258.0</v>
      </c>
      <c r="M14" s="85">
        <v>231.0</v>
      </c>
      <c r="N14" s="85">
        <v>194.0</v>
      </c>
      <c r="O14" s="85">
        <v>256.0</v>
      </c>
      <c r="P14" s="85">
        <v>165.0</v>
      </c>
      <c r="Q14" s="85">
        <v>169.0</v>
      </c>
      <c r="R14" s="85">
        <v>208.0</v>
      </c>
      <c r="S14" s="85">
        <v>175.0</v>
      </c>
      <c r="T14" s="85">
        <v>221.0</v>
      </c>
      <c r="U14" s="86" t="s">
        <v>28</v>
      </c>
      <c r="V14" s="86" t="s">
        <v>28</v>
      </c>
      <c r="W14" s="86" t="s">
        <v>28</v>
      </c>
      <c r="X14" s="86" t="s">
        <v>28</v>
      </c>
      <c r="Y14" s="86" t="s">
        <v>28</v>
      </c>
      <c r="Z14" s="86" t="s">
        <v>28</v>
      </c>
      <c r="AA14" s="86" t="s">
        <v>28</v>
      </c>
      <c r="AB14" s="35">
        <f t="shared" si="4"/>
        <v>208.5555556</v>
      </c>
      <c r="AC14" s="35">
        <f t="shared" si="5"/>
        <v>165</v>
      </c>
      <c r="AD14" s="35" t="str">
        <f t="shared" si="6"/>
        <v>&gt;</v>
      </c>
      <c r="AE14" s="35">
        <f t="shared" si="7"/>
        <v>104.2777778</v>
      </c>
      <c r="AF14" s="78">
        <v>200.0</v>
      </c>
      <c r="AG14" s="76" t="str">
        <f t="shared" si="8"/>
        <v>SI</v>
      </c>
      <c r="AH14" s="76" t="str">
        <f t="shared" si="9"/>
        <v>SI</v>
      </c>
    </row>
    <row r="15">
      <c r="B15" s="72">
        <v>9.0</v>
      </c>
      <c r="C15" s="77" t="s">
        <v>33</v>
      </c>
      <c r="D15" s="72">
        <v>10.08</v>
      </c>
      <c r="E15" s="72">
        <v>14.52</v>
      </c>
      <c r="F15" s="72">
        <v>2.94</v>
      </c>
      <c r="G15" s="69">
        <f t="shared" si="10"/>
        <v>2.02369338</v>
      </c>
      <c r="H15" s="72">
        <v>2.0</v>
      </c>
      <c r="I15" s="72">
        <v>2.0</v>
      </c>
      <c r="J15" s="72">
        <f t="shared" si="11"/>
        <v>4</v>
      </c>
      <c r="K15" s="72">
        <f t="shared" si="12"/>
        <v>16</v>
      </c>
      <c r="L15" s="85">
        <v>335.0</v>
      </c>
      <c r="M15" s="85">
        <v>418.0</v>
      </c>
      <c r="N15" s="85">
        <v>421.0</v>
      </c>
      <c r="O15" s="85">
        <v>498.0</v>
      </c>
      <c r="P15" s="85">
        <v>436.0</v>
      </c>
      <c r="Q15" s="85">
        <v>645.0</v>
      </c>
      <c r="R15" s="85">
        <v>531.0</v>
      </c>
      <c r="S15" s="85">
        <v>496.0</v>
      </c>
      <c r="T15" s="85">
        <v>390.0</v>
      </c>
      <c r="U15" s="85">
        <v>353.0</v>
      </c>
      <c r="V15" s="85">
        <v>254.0</v>
      </c>
      <c r="W15" s="85">
        <v>297.0</v>
      </c>
      <c r="X15" s="85">
        <v>301.0</v>
      </c>
      <c r="Y15" s="85">
        <v>298.0</v>
      </c>
      <c r="Z15" s="85">
        <v>310.0</v>
      </c>
      <c r="AA15" s="85">
        <v>278.0</v>
      </c>
      <c r="AB15" s="35">
        <f t="shared" si="4"/>
        <v>391.3125</v>
      </c>
      <c r="AC15" s="35">
        <f t="shared" ref="AC15:AC16" si="13">MIN(L15:AA15)</f>
        <v>254</v>
      </c>
      <c r="AD15" s="35" t="str">
        <f t="shared" si="6"/>
        <v>&gt;</v>
      </c>
      <c r="AE15" s="35">
        <f t="shared" si="7"/>
        <v>195.65625</v>
      </c>
      <c r="AF15" s="78">
        <v>300.0</v>
      </c>
      <c r="AG15" s="76" t="str">
        <f t="shared" si="8"/>
        <v>SI</v>
      </c>
      <c r="AH15" s="76" t="str">
        <f t="shared" si="9"/>
        <v>SI</v>
      </c>
    </row>
    <row r="16">
      <c r="B16" s="72">
        <v>10.0</v>
      </c>
      <c r="C16" s="77" t="s">
        <v>34</v>
      </c>
      <c r="D16" s="72">
        <v>3.83</v>
      </c>
      <c r="E16" s="72">
        <v>6.2</v>
      </c>
      <c r="F16" s="72">
        <v>2.94</v>
      </c>
      <c r="G16" s="69">
        <f t="shared" si="10"/>
        <v>0.805271261</v>
      </c>
      <c r="H16" s="72">
        <v>1.0</v>
      </c>
      <c r="I16" s="72">
        <v>2.0</v>
      </c>
      <c r="J16" s="72">
        <f t="shared" si="11"/>
        <v>3</v>
      </c>
      <c r="K16" s="72">
        <f t="shared" si="12"/>
        <v>9</v>
      </c>
      <c r="L16" s="85">
        <v>370.0</v>
      </c>
      <c r="M16" s="85">
        <v>293.0</v>
      </c>
      <c r="N16" s="85">
        <v>286.0</v>
      </c>
      <c r="O16" s="85">
        <v>330.0</v>
      </c>
      <c r="P16" s="86" t="s">
        <v>28</v>
      </c>
      <c r="Q16" s="86" t="s">
        <v>28</v>
      </c>
      <c r="R16" s="86" t="s">
        <v>28</v>
      </c>
      <c r="S16" s="86" t="s">
        <v>28</v>
      </c>
      <c r="T16" s="86" t="s">
        <v>28</v>
      </c>
      <c r="U16" s="86" t="s">
        <v>28</v>
      </c>
      <c r="V16" s="86" t="s">
        <v>28</v>
      </c>
      <c r="W16" s="86" t="s">
        <v>28</v>
      </c>
      <c r="X16" s="86" t="s">
        <v>28</v>
      </c>
      <c r="Y16" s="86" t="s">
        <v>28</v>
      </c>
      <c r="Z16" s="86" t="s">
        <v>28</v>
      </c>
      <c r="AA16" s="86" t="s">
        <v>28</v>
      </c>
      <c r="AB16" s="35">
        <f t="shared" si="4"/>
        <v>319.75</v>
      </c>
      <c r="AC16" s="35">
        <f t="shared" si="13"/>
        <v>286</v>
      </c>
      <c r="AD16" s="35" t="str">
        <f t="shared" si="6"/>
        <v>&gt;</v>
      </c>
      <c r="AE16" s="35">
        <f t="shared" si="7"/>
        <v>159.875</v>
      </c>
      <c r="AF16" s="78">
        <v>100.0</v>
      </c>
      <c r="AG16" s="76" t="str">
        <f t="shared" si="8"/>
        <v>SI</v>
      </c>
      <c r="AH16" s="76" t="str">
        <f t="shared" si="9"/>
        <v>SI</v>
      </c>
    </row>
    <row r="17">
      <c r="B17" s="73">
        <v>11.0</v>
      </c>
      <c r="C17" s="77" t="s">
        <v>35</v>
      </c>
      <c r="D17" s="72">
        <v>3.83</v>
      </c>
      <c r="E17" s="72">
        <v>4.03</v>
      </c>
      <c r="F17" s="72">
        <v>2.94</v>
      </c>
      <c r="G17" s="69">
        <f t="shared" si="10"/>
        <v>0.6679346039</v>
      </c>
      <c r="H17" s="72">
        <v>1.0</v>
      </c>
      <c r="I17" s="72">
        <v>2.0</v>
      </c>
      <c r="J17" s="72">
        <f t="shared" si="11"/>
        <v>3</v>
      </c>
      <c r="K17" s="72">
        <f t="shared" si="12"/>
        <v>9</v>
      </c>
      <c r="L17" s="85">
        <v>32.0</v>
      </c>
      <c r="M17" s="85">
        <v>39.0</v>
      </c>
      <c r="N17" s="85">
        <v>46.0</v>
      </c>
      <c r="O17" s="85">
        <v>38.0</v>
      </c>
      <c r="P17" s="85">
        <v>25.0</v>
      </c>
      <c r="Q17" s="85">
        <v>41.0</v>
      </c>
      <c r="R17" s="85">
        <v>43.0</v>
      </c>
      <c r="S17" s="85">
        <v>38.0</v>
      </c>
      <c r="T17" s="85">
        <v>39.0</v>
      </c>
      <c r="U17" s="86" t="s">
        <v>28</v>
      </c>
      <c r="V17" s="86" t="s">
        <v>28</v>
      </c>
      <c r="W17" s="86" t="s">
        <v>28</v>
      </c>
      <c r="X17" s="86" t="s">
        <v>28</v>
      </c>
      <c r="Y17" s="86" t="s">
        <v>28</v>
      </c>
      <c r="Z17" s="86" t="s">
        <v>28</v>
      </c>
      <c r="AA17" s="86" t="s">
        <v>28</v>
      </c>
      <c r="AB17" s="35">
        <f t="shared" si="4"/>
        <v>37.88888889</v>
      </c>
      <c r="AC17" s="35">
        <f t="shared" ref="AC17:AC30" si="14">MIN(L17:Z17)</f>
        <v>25</v>
      </c>
      <c r="AD17" s="35" t="str">
        <f t="shared" si="6"/>
        <v>&gt;</v>
      </c>
      <c r="AE17" s="35">
        <f t="shared" si="7"/>
        <v>18.94444444</v>
      </c>
      <c r="AF17" s="78">
        <v>50.0</v>
      </c>
      <c r="AG17" s="76" t="str">
        <f t="shared" si="8"/>
        <v>SI</v>
      </c>
      <c r="AH17" s="76" t="str">
        <f t="shared" si="9"/>
        <v>NO</v>
      </c>
    </row>
    <row r="18">
      <c r="B18" s="72">
        <v>12.0</v>
      </c>
      <c r="C18" s="77" t="s">
        <v>36</v>
      </c>
      <c r="D18" s="72">
        <v>2.97</v>
      </c>
      <c r="E18" s="72">
        <v>3.89</v>
      </c>
      <c r="F18" s="72">
        <v>2.94</v>
      </c>
      <c r="G18" s="69">
        <f t="shared" si="10"/>
        <v>0.5728416731</v>
      </c>
      <c r="H18" s="72">
        <v>1.0</v>
      </c>
      <c r="I18" s="72">
        <v>2.0</v>
      </c>
      <c r="J18" s="72">
        <f t="shared" si="11"/>
        <v>3</v>
      </c>
      <c r="K18" s="72">
        <f t="shared" si="12"/>
        <v>9</v>
      </c>
      <c r="L18" s="85">
        <v>175.0</v>
      </c>
      <c r="M18" s="85">
        <v>190.0</v>
      </c>
      <c r="N18" s="85">
        <v>173.0</v>
      </c>
      <c r="O18" s="85">
        <v>189.0</v>
      </c>
      <c r="P18" s="85">
        <v>185.0</v>
      </c>
      <c r="Q18" s="85">
        <v>182.0</v>
      </c>
      <c r="R18" s="85">
        <v>137.0</v>
      </c>
      <c r="S18" s="85">
        <v>164.0</v>
      </c>
      <c r="T18" s="85">
        <v>167.0</v>
      </c>
      <c r="U18" s="86" t="s">
        <v>28</v>
      </c>
      <c r="V18" s="86" t="s">
        <v>28</v>
      </c>
      <c r="W18" s="86" t="s">
        <v>28</v>
      </c>
      <c r="X18" s="86" t="s">
        <v>28</v>
      </c>
      <c r="Y18" s="86" t="s">
        <v>28</v>
      </c>
      <c r="Z18" s="86" t="s">
        <v>28</v>
      </c>
      <c r="AA18" s="86" t="s">
        <v>28</v>
      </c>
      <c r="AB18" s="35">
        <f t="shared" si="4"/>
        <v>173.5555556</v>
      </c>
      <c r="AC18" s="35">
        <f t="shared" si="14"/>
        <v>137</v>
      </c>
      <c r="AD18" s="35" t="str">
        <f t="shared" si="6"/>
        <v>&gt;</v>
      </c>
      <c r="AE18" s="35">
        <f t="shared" si="7"/>
        <v>86.77777778</v>
      </c>
      <c r="AF18" s="78">
        <v>50.0</v>
      </c>
      <c r="AG18" s="76" t="str">
        <f t="shared" si="8"/>
        <v>SI</v>
      </c>
      <c r="AH18" s="76" t="str">
        <f t="shared" si="9"/>
        <v>SI</v>
      </c>
    </row>
    <row r="19">
      <c r="B19" s="72">
        <v>13.0</v>
      </c>
      <c r="C19" s="77" t="s">
        <v>37</v>
      </c>
      <c r="D19" s="72">
        <v>2.56</v>
      </c>
      <c r="E19" s="72">
        <v>3.05</v>
      </c>
      <c r="F19" s="72">
        <v>2.94</v>
      </c>
      <c r="G19" s="69">
        <f t="shared" si="10"/>
        <v>0.4734014818</v>
      </c>
      <c r="H19" s="72">
        <v>1.0</v>
      </c>
      <c r="I19" s="72">
        <v>2.0</v>
      </c>
      <c r="J19" s="72">
        <f t="shared" si="11"/>
        <v>3</v>
      </c>
      <c r="K19" s="72">
        <f t="shared" si="12"/>
        <v>9</v>
      </c>
      <c r="L19" s="85">
        <v>667.0</v>
      </c>
      <c r="M19" s="85">
        <v>619.0</v>
      </c>
      <c r="N19" s="85">
        <v>625.0</v>
      </c>
      <c r="O19" s="85">
        <v>588.0</v>
      </c>
      <c r="P19" s="85">
        <v>518.0</v>
      </c>
      <c r="Q19" s="85">
        <v>601.0</v>
      </c>
      <c r="R19" s="85">
        <v>456.0</v>
      </c>
      <c r="S19" s="85">
        <v>556.0</v>
      </c>
      <c r="T19" s="85">
        <v>567.0</v>
      </c>
      <c r="U19" s="86" t="s">
        <v>28</v>
      </c>
      <c r="V19" s="86" t="s">
        <v>28</v>
      </c>
      <c r="W19" s="86" t="s">
        <v>28</v>
      </c>
      <c r="X19" s="86" t="s">
        <v>28</v>
      </c>
      <c r="Y19" s="86" t="s">
        <v>28</v>
      </c>
      <c r="Z19" s="86" t="s">
        <v>28</v>
      </c>
      <c r="AA19" s="86" t="s">
        <v>28</v>
      </c>
      <c r="AB19" s="35">
        <f t="shared" si="4"/>
        <v>577.4444444</v>
      </c>
      <c r="AC19" s="35">
        <f t="shared" si="14"/>
        <v>456</v>
      </c>
      <c r="AD19" s="35" t="str">
        <f t="shared" si="6"/>
        <v>&gt;</v>
      </c>
      <c r="AE19" s="35">
        <f t="shared" si="7"/>
        <v>288.7222222</v>
      </c>
      <c r="AF19" s="78">
        <v>300.0</v>
      </c>
      <c r="AG19" s="76" t="str">
        <f t="shared" si="8"/>
        <v>SI</v>
      </c>
      <c r="AH19" s="76" t="str">
        <f t="shared" si="9"/>
        <v>SI</v>
      </c>
    </row>
    <row r="20">
      <c r="B20" s="73">
        <v>14.0</v>
      </c>
      <c r="C20" s="77" t="s">
        <v>38</v>
      </c>
      <c r="D20" s="72">
        <v>4.23</v>
      </c>
      <c r="E20" s="72">
        <v>3.71</v>
      </c>
      <c r="F20" s="72">
        <v>2.94</v>
      </c>
      <c r="G20" s="69">
        <f t="shared" si="10"/>
        <v>0.6722741994</v>
      </c>
      <c r="H20" s="72">
        <v>1.0</v>
      </c>
      <c r="I20" s="72">
        <v>2.0</v>
      </c>
      <c r="J20" s="72">
        <f t="shared" si="11"/>
        <v>3</v>
      </c>
      <c r="K20" s="72">
        <f t="shared" si="12"/>
        <v>9</v>
      </c>
      <c r="L20" s="85">
        <v>390.0</v>
      </c>
      <c r="M20" s="85">
        <v>475.0</v>
      </c>
      <c r="N20" s="85">
        <v>489.0</v>
      </c>
      <c r="O20" s="85">
        <v>447.0</v>
      </c>
      <c r="P20" s="85">
        <v>328.0</v>
      </c>
      <c r="Q20" s="85">
        <v>332.0</v>
      </c>
      <c r="R20" s="85">
        <v>585.0</v>
      </c>
      <c r="S20" s="85">
        <v>506.0</v>
      </c>
      <c r="T20" s="85">
        <v>487.0</v>
      </c>
      <c r="U20" s="86" t="s">
        <v>28</v>
      </c>
      <c r="V20" s="86" t="s">
        <v>28</v>
      </c>
      <c r="W20" s="86" t="s">
        <v>28</v>
      </c>
      <c r="X20" s="86" t="s">
        <v>28</v>
      </c>
      <c r="Y20" s="86" t="s">
        <v>28</v>
      </c>
      <c r="Z20" s="86" t="s">
        <v>28</v>
      </c>
      <c r="AA20" s="86" t="s">
        <v>28</v>
      </c>
      <c r="AB20" s="35">
        <f t="shared" si="4"/>
        <v>448.7777778</v>
      </c>
      <c r="AC20" s="35">
        <f t="shared" si="14"/>
        <v>328</v>
      </c>
      <c r="AD20" s="35" t="str">
        <f t="shared" si="6"/>
        <v>&gt;</v>
      </c>
      <c r="AE20" s="35">
        <f t="shared" si="7"/>
        <v>224.3888889</v>
      </c>
      <c r="AF20" s="78">
        <v>300.0</v>
      </c>
      <c r="AG20" s="76" t="str">
        <f t="shared" si="8"/>
        <v>SI</v>
      </c>
      <c r="AH20" s="76" t="str">
        <f t="shared" si="9"/>
        <v>SI</v>
      </c>
    </row>
    <row r="21" ht="15.75" customHeight="1">
      <c r="B21" s="72">
        <v>15.0</v>
      </c>
      <c r="C21" s="77" t="s">
        <v>39</v>
      </c>
      <c r="D21" s="72">
        <v>5.75</v>
      </c>
      <c r="E21" s="72">
        <v>2.79</v>
      </c>
      <c r="F21" s="72">
        <v>2.94</v>
      </c>
      <c r="G21" s="69">
        <f t="shared" si="10"/>
        <v>0.6389499594</v>
      </c>
      <c r="H21" s="72">
        <v>1.0</v>
      </c>
      <c r="I21" s="72">
        <v>2.0</v>
      </c>
      <c r="J21" s="72">
        <f t="shared" si="11"/>
        <v>3</v>
      </c>
      <c r="K21" s="72">
        <f t="shared" si="12"/>
        <v>9</v>
      </c>
      <c r="L21" s="85">
        <v>525.0</v>
      </c>
      <c r="M21" s="85">
        <v>595.0</v>
      </c>
      <c r="N21" s="85">
        <v>578.0</v>
      </c>
      <c r="O21" s="85">
        <v>533.0</v>
      </c>
      <c r="P21" s="85">
        <v>547.0</v>
      </c>
      <c r="Q21" s="85">
        <v>517.0</v>
      </c>
      <c r="R21" s="85">
        <v>381.0</v>
      </c>
      <c r="S21" s="85">
        <v>602.0</v>
      </c>
      <c r="T21" s="85">
        <v>505.0</v>
      </c>
      <c r="U21" s="86" t="s">
        <v>28</v>
      </c>
      <c r="V21" s="86" t="s">
        <v>28</v>
      </c>
      <c r="W21" s="86" t="s">
        <v>28</v>
      </c>
      <c r="X21" s="86" t="s">
        <v>28</v>
      </c>
      <c r="Y21" s="86" t="s">
        <v>28</v>
      </c>
      <c r="Z21" s="86" t="s">
        <v>28</v>
      </c>
      <c r="AA21" s="86" t="s">
        <v>28</v>
      </c>
      <c r="AB21" s="35">
        <f t="shared" si="4"/>
        <v>531.4444444</v>
      </c>
      <c r="AC21" s="35">
        <f t="shared" si="14"/>
        <v>381</v>
      </c>
      <c r="AD21" s="35" t="str">
        <f t="shared" si="6"/>
        <v>&gt;</v>
      </c>
      <c r="AE21" s="35">
        <f t="shared" si="7"/>
        <v>265.7222222</v>
      </c>
      <c r="AF21" s="78">
        <v>300.0</v>
      </c>
      <c r="AG21" s="76" t="str">
        <f t="shared" si="8"/>
        <v>SI</v>
      </c>
      <c r="AH21" s="76" t="str">
        <f t="shared" si="9"/>
        <v>SI</v>
      </c>
    </row>
    <row r="22" ht="15.75" customHeight="1">
      <c r="B22" s="72">
        <v>16.0</v>
      </c>
      <c r="C22" s="77" t="s">
        <v>40</v>
      </c>
      <c r="D22" s="72">
        <v>3.97</v>
      </c>
      <c r="E22" s="72">
        <v>3.66</v>
      </c>
      <c r="F22" s="72">
        <v>2.94</v>
      </c>
      <c r="G22" s="69">
        <f t="shared" si="10"/>
        <v>0.6477385187</v>
      </c>
      <c r="H22" s="72">
        <v>1.0</v>
      </c>
      <c r="I22" s="72">
        <v>2.0</v>
      </c>
      <c r="J22" s="72">
        <f t="shared" si="11"/>
        <v>3</v>
      </c>
      <c r="K22" s="72">
        <f t="shared" si="12"/>
        <v>9</v>
      </c>
      <c r="L22" s="85">
        <v>240.0</v>
      </c>
      <c r="M22" s="85">
        <v>249.0</v>
      </c>
      <c r="N22" s="85">
        <v>220.0</v>
      </c>
      <c r="O22" s="85">
        <v>156.0</v>
      </c>
      <c r="P22" s="85">
        <v>176.0</v>
      </c>
      <c r="Q22" s="85">
        <v>165.0</v>
      </c>
      <c r="R22" s="85">
        <v>166.0</v>
      </c>
      <c r="S22" s="85">
        <v>269.0</v>
      </c>
      <c r="T22" s="85">
        <v>276.0</v>
      </c>
      <c r="U22" s="86" t="s">
        <v>28</v>
      </c>
      <c r="V22" s="86" t="s">
        <v>28</v>
      </c>
      <c r="W22" s="86" t="s">
        <v>28</v>
      </c>
      <c r="X22" s="86" t="s">
        <v>28</v>
      </c>
      <c r="Y22" s="86" t="s">
        <v>28</v>
      </c>
      <c r="Z22" s="86" t="s">
        <v>28</v>
      </c>
      <c r="AA22" s="86" t="s">
        <v>28</v>
      </c>
      <c r="AB22" s="35">
        <f t="shared" si="4"/>
        <v>213</v>
      </c>
      <c r="AC22" s="35">
        <f t="shared" si="14"/>
        <v>156</v>
      </c>
      <c r="AD22" s="35" t="str">
        <f t="shared" si="6"/>
        <v>&gt;</v>
      </c>
      <c r="AE22" s="35">
        <f t="shared" si="7"/>
        <v>106.5</v>
      </c>
      <c r="AF22" s="78">
        <v>50.0</v>
      </c>
      <c r="AG22" s="76" t="str">
        <f t="shared" si="8"/>
        <v>SI</v>
      </c>
      <c r="AH22" s="76" t="str">
        <f t="shared" si="9"/>
        <v>SI</v>
      </c>
    </row>
    <row r="23" ht="15.75" customHeight="1">
      <c r="B23" s="73">
        <v>17.0</v>
      </c>
      <c r="C23" s="77" t="s">
        <v>90</v>
      </c>
      <c r="D23" s="72">
        <v>7.11</v>
      </c>
      <c r="E23" s="72">
        <v>3.53</v>
      </c>
      <c r="F23" s="72">
        <v>2.94</v>
      </c>
      <c r="G23" s="69">
        <f t="shared" si="10"/>
        <v>0.8023342796</v>
      </c>
      <c r="H23" s="72">
        <v>1.0</v>
      </c>
      <c r="I23" s="72">
        <v>2.0</v>
      </c>
      <c r="J23" s="72">
        <f t="shared" si="11"/>
        <v>3</v>
      </c>
      <c r="K23" s="72">
        <f t="shared" si="12"/>
        <v>9</v>
      </c>
      <c r="L23" s="85">
        <v>177.0</v>
      </c>
      <c r="M23" s="85">
        <v>231.0</v>
      </c>
      <c r="N23" s="85">
        <v>194.0</v>
      </c>
      <c r="O23" s="85">
        <v>220.0</v>
      </c>
      <c r="P23" s="85">
        <v>294.0</v>
      </c>
      <c r="Q23" s="85">
        <v>419.0</v>
      </c>
      <c r="R23" s="85">
        <v>427.0</v>
      </c>
      <c r="S23" s="85">
        <v>345.0</v>
      </c>
      <c r="T23" s="85">
        <v>238.0</v>
      </c>
      <c r="U23" s="86" t="s">
        <v>28</v>
      </c>
      <c r="V23" s="86" t="s">
        <v>28</v>
      </c>
      <c r="W23" s="86" t="s">
        <v>28</v>
      </c>
      <c r="X23" s="86" t="s">
        <v>28</v>
      </c>
      <c r="Y23" s="86" t="s">
        <v>28</v>
      </c>
      <c r="Z23" s="86" t="s">
        <v>28</v>
      </c>
      <c r="AA23" s="86" t="s">
        <v>28</v>
      </c>
      <c r="AB23" s="35">
        <f t="shared" si="4"/>
        <v>282.7777778</v>
      </c>
      <c r="AC23" s="35">
        <f t="shared" si="14"/>
        <v>177</v>
      </c>
      <c r="AD23" s="35" t="str">
        <f t="shared" si="6"/>
        <v>&gt;</v>
      </c>
      <c r="AE23" s="35">
        <f t="shared" si="7"/>
        <v>141.3888889</v>
      </c>
      <c r="AF23" s="78">
        <v>50.0</v>
      </c>
      <c r="AG23" s="76" t="str">
        <f t="shared" si="8"/>
        <v>SI</v>
      </c>
      <c r="AH23" s="76" t="str">
        <f t="shared" si="9"/>
        <v>SI</v>
      </c>
    </row>
    <row r="24" ht="15.75" customHeight="1">
      <c r="B24" s="72">
        <v>18.0</v>
      </c>
      <c r="C24" s="77" t="s">
        <v>42</v>
      </c>
      <c r="D24" s="72">
        <v>4.12</v>
      </c>
      <c r="E24" s="72">
        <v>3.32</v>
      </c>
      <c r="F24" s="72">
        <v>2.94</v>
      </c>
      <c r="G24" s="69">
        <f t="shared" si="10"/>
        <v>0.6253383074</v>
      </c>
      <c r="H24" s="72">
        <v>1.0</v>
      </c>
      <c r="I24" s="72">
        <v>2.0</v>
      </c>
      <c r="J24" s="72">
        <f t="shared" si="11"/>
        <v>3</v>
      </c>
      <c r="K24" s="72">
        <f t="shared" si="12"/>
        <v>9</v>
      </c>
      <c r="L24" s="85">
        <v>100.0</v>
      </c>
      <c r="M24" s="85">
        <v>114.0</v>
      </c>
      <c r="N24" s="85">
        <v>105.0</v>
      </c>
      <c r="O24" s="85">
        <v>79.0</v>
      </c>
      <c r="P24" s="85">
        <v>105.0</v>
      </c>
      <c r="Q24" s="85">
        <v>96.0</v>
      </c>
      <c r="R24" s="85">
        <v>88.0</v>
      </c>
      <c r="S24" s="85">
        <v>65.0</v>
      </c>
      <c r="T24" s="85">
        <v>98.0</v>
      </c>
      <c r="U24" s="86" t="s">
        <v>28</v>
      </c>
      <c r="V24" s="86" t="s">
        <v>28</v>
      </c>
      <c r="W24" s="86" t="s">
        <v>28</v>
      </c>
      <c r="X24" s="86" t="s">
        <v>28</v>
      </c>
      <c r="Y24" s="86" t="s">
        <v>28</v>
      </c>
      <c r="Z24" s="86" t="s">
        <v>28</v>
      </c>
      <c r="AA24" s="86" t="s">
        <v>28</v>
      </c>
      <c r="AB24" s="35">
        <f t="shared" si="4"/>
        <v>94.44444444</v>
      </c>
      <c r="AC24" s="35">
        <f t="shared" si="14"/>
        <v>65</v>
      </c>
      <c r="AD24" s="35" t="str">
        <f t="shared" si="6"/>
        <v>&gt;</v>
      </c>
      <c r="AE24" s="35">
        <f t="shared" si="7"/>
        <v>47.22222222</v>
      </c>
      <c r="AF24" s="78">
        <v>50.0</v>
      </c>
      <c r="AG24" s="76" t="str">
        <f t="shared" si="8"/>
        <v>SI</v>
      </c>
      <c r="AH24" s="76" t="str">
        <f t="shared" si="9"/>
        <v>SI</v>
      </c>
    </row>
    <row r="25" ht="15.75" customHeight="1">
      <c r="B25" s="72">
        <v>19.0</v>
      </c>
      <c r="C25" s="77" t="s">
        <v>43</v>
      </c>
      <c r="D25" s="72">
        <v>3.1</v>
      </c>
      <c r="E25" s="72">
        <v>9.06</v>
      </c>
      <c r="F25" s="72">
        <v>2.94</v>
      </c>
      <c r="G25" s="69">
        <f t="shared" si="10"/>
        <v>0.7856135875</v>
      </c>
      <c r="H25" s="72">
        <v>1.0</v>
      </c>
      <c r="I25" s="72">
        <v>2.0</v>
      </c>
      <c r="J25" s="72">
        <f t="shared" si="11"/>
        <v>3</v>
      </c>
      <c r="K25" s="72">
        <f t="shared" si="12"/>
        <v>9</v>
      </c>
      <c r="L25" s="85">
        <v>0.0</v>
      </c>
      <c r="M25" s="85">
        <v>2.0</v>
      </c>
      <c r="N25" s="85">
        <v>3.0</v>
      </c>
      <c r="O25" s="85">
        <v>5.0</v>
      </c>
      <c r="P25" s="85">
        <v>8.0</v>
      </c>
      <c r="Q25" s="85">
        <v>6.0</v>
      </c>
      <c r="R25" s="85">
        <v>7.0</v>
      </c>
      <c r="S25" s="85">
        <v>3.0</v>
      </c>
      <c r="T25" s="85">
        <v>4.0</v>
      </c>
      <c r="U25" s="86" t="s">
        <v>28</v>
      </c>
      <c r="V25" s="86" t="s">
        <v>28</v>
      </c>
      <c r="W25" s="86" t="s">
        <v>28</v>
      </c>
      <c r="X25" s="86" t="s">
        <v>28</v>
      </c>
      <c r="Y25" s="86" t="s">
        <v>28</v>
      </c>
      <c r="Z25" s="86" t="s">
        <v>28</v>
      </c>
      <c r="AA25" s="86" t="s">
        <v>28</v>
      </c>
      <c r="AB25" s="35">
        <f t="shared" si="4"/>
        <v>4.222222222</v>
      </c>
      <c r="AC25" s="35">
        <f t="shared" si="14"/>
        <v>0</v>
      </c>
      <c r="AD25" s="35" t="str">
        <f t="shared" si="6"/>
        <v>&lt;</v>
      </c>
      <c r="AE25" s="35">
        <f t="shared" si="7"/>
        <v>2.111111111</v>
      </c>
      <c r="AF25" s="78">
        <v>50.0</v>
      </c>
      <c r="AG25" s="76" t="str">
        <f t="shared" si="8"/>
        <v>NO</v>
      </c>
      <c r="AH25" s="76" t="str">
        <f t="shared" si="9"/>
        <v>NO</v>
      </c>
    </row>
    <row r="26" ht="15.75" customHeight="1">
      <c r="B26" s="73">
        <v>20.0</v>
      </c>
      <c r="C26" s="77" t="s">
        <v>44</v>
      </c>
      <c r="D26" s="72">
        <v>3.03</v>
      </c>
      <c r="E26" s="72">
        <v>20.87</v>
      </c>
      <c r="F26" s="72">
        <v>2.94</v>
      </c>
      <c r="G26" s="69">
        <f t="shared" si="10"/>
        <v>0.8999530356</v>
      </c>
      <c r="H26" s="72">
        <v>1.0</v>
      </c>
      <c r="I26" s="72">
        <v>2.0</v>
      </c>
      <c r="J26" s="72">
        <f t="shared" si="11"/>
        <v>3</v>
      </c>
      <c r="K26" s="72">
        <f t="shared" si="12"/>
        <v>9</v>
      </c>
      <c r="L26" s="85">
        <v>300.0</v>
      </c>
      <c r="M26" s="85">
        <v>415.0</v>
      </c>
      <c r="N26" s="85">
        <v>370.0</v>
      </c>
      <c r="O26" s="85">
        <v>290.0</v>
      </c>
      <c r="P26" s="85">
        <v>375.0</v>
      </c>
      <c r="Q26" s="85">
        <v>349.0</v>
      </c>
      <c r="R26" s="85">
        <v>272.0</v>
      </c>
      <c r="S26" s="85">
        <v>410.0</v>
      </c>
      <c r="T26" s="85">
        <v>289.0</v>
      </c>
      <c r="U26" s="86" t="s">
        <v>28</v>
      </c>
      <c r="V26" s="86" t="s">
        <v>28</v>
      </c>
      <c r="W26" s="86" t="s">
        <v>28</v>
      </c>
      <c r="X26" s="86" t="s">
        <v>28</v>
      </c>
      <c r="Y26" s="86" t="s">
        <v>28</v>
      </c>
      <c r="Z26" s="86" t="s">
        <v>28</v>
      </c>
      <c r="AA26" s="86" t="s">
        <v>28</v>
      </c>
      <c r="AB26" s="35">
        <f t="shared" si="4"/>
        <v>341.1111111</v>
      </c>
      <c r="AC26" s="35">
        <f t="shared" si="14"/>
        <v>272</v>
      </c>
      <c r="AD26" s="35" t="str">
        <f t="shared" si="6"/>
        <v>&gt;</v>
      </c>
      <c r="AE26" s="35">
        <f t="shared" si="7"/>
        <v>170.5555556</v>
      </c>
      <c r="AF26" s="78">
        <v>50.0</v>
      </c>
      <c r="AG26" s="76" t="str">
        <f t="shared" si="8"/>
        <v>SI</v>
      </c>
      <c r="AH26" s="76" t="str">
        <f t="shared" si="9"/>
        <v>SI</v>
      </c>
    </row>
    <row r="27" ht="15.75" customHeight="1">
      <c r="B27" s="72">
        <v>21.0</v>
      </c>
      <c r="C27" s="77" t="s">
        <v>45</v>
      </c>
      <c r="D27" s="72">
        <v>4.22</v>
      </c>
      <c r="E27" s="72">
        <v>5.55</v>
      </c>
      <c r="F27" s="72">
        <v>2.94</v>
      </c>
      <c r="G27" s="69">
        <f t="shared" si="10"/>
        <v>0.8153865436</v>
      </c>
      <c r="H27" s="72">
        <v>1.0</v>
      </c>
      <c r="I27" s="72">
        <v>2.0</v>
      </c>
      <c r="J27" s="72">
        <f t="shared" si="11"/>
        <v>3</v>
      </c>
      <c r="K27" s="72">
        <f t="shared" si="12"/>
        <v>9</v>
      </c>
      <c r="L27" s="85">
        <v>495.0</v>
      </c>
      <c r="M27" s="85">
        <v>598.0</v>
      </c>
      <c r="N27" s="85">
        <v>477.0</v>
      </c>
      <c r="O27" s="85">
        <v>599.0</v>
      </c>
      <c r="P27" s="85">
        <v>483.0</v>
      </c>
      <c r="Q27" s="85">
        <v>374.0</v>
      </c>
      <c r="R27" s="85">
        <v>318.0</v>
      </c>
      <c r="S27" s="85">
        <v>345.0</v>
      </c>
      <c r="T27" s="85">
        <v>378.0</v>
      </c>
      <c r="U27" s="86" t="s">
        <v>28</v>
      </c>
      <c r="V27" s="86" t="s">
        <v>28</v>
      </c>
      <c r="W27" s="86" t="s">
        <v>28</v>
      </c>
      <c r="X27" s="86" t="s">
        <v>28</v>
      </c>
      <c r="Y27" s="86" t="s">
        <v>28</v>
      </c>
      <c r="Z27" s="86" t="s">
        <v>28</v>
      </c>
      <c r="AA27" s="86" t="s">
        <v>28</v>
      </c>
      <c r="AB27" s="35">
        <f t="shared" si="4"/>
        <v>451.8888889</v>
      </c>
      <c r="AC27" s="35">
        <f t="shared" si="14"/>
        <v>318</v>
      </c>
      <c r="AD27" s="35" t="str">
        <f t="shared" si="6"/>
        <v>&gt;</v>
      </c>
      <c r="AE27" s="35">
        <f t="shared" si="7"/>
        <v>225.9444444</v>
      </c>
      <c r="AF27" s="78">
        <v>50.0</v>
      </c>
      <c r="AG27" s="76" t="str">
        <f t="shared" si="8"/>
        <v>SI</v>
      </c>
      <c r="AH27" s="76" t="str">
        <f t="shared" si="9"/>
        <v>SI</v>
      </c>
    </row>
    <row r="28" ht="15.75" customHeight="1">
      <c r="B28" s="72">
        <v>22.0</v>
      </c>
      <c r="C28" s="77" t="s">
        <v>46</v>
      </c>
      <c r="D28" s="72">
        <v>4.98</v>
      </c>
      <c r="E28" s="72">
        <v>8.2</v>
      </c>
      <c r="F28" s="72">
        <v>2.94</v>
      </c>
      <c r="G28" s="69">
        <f t="shared" si="10"/>
        <v>1.053854015</v>
      </c>
      <c r="H28" s="72">
        <v>1.0</v>
      </c>
      <c r="I28" s="72">
        <v>2.0</v>
      </c>
      <c r="J28" s="72">
        <f t="shared" si="11"/>
        <v>3</v>
      </c>
      <c r="K28" s="72">
        <f t="shared" si="12"/>
        <v>9</v>
      </c>
      <c r="L28" s="85">
        <v>397.0</v>
      </c>
      <c r="M28" s="85">
        <v>339.0</v>
      </c>
      <c r="N28" s="85">
        <v>246.0</v>
      </c>
      <c r="O28" s="85">
        <v>173.0</v>
      </c>
      <c r="P28" s="85">
        <v>229.0</v>
      </c>
      <c r="Q28" s="85">
        <v>233.0</v>
      </c>
      <c r="R28" s="85">
        <v>408.0</v>
      </c>
      <c r="S28" s="85">
        <v>340.0</v>
      </c>
      <c r="T28" s="85">
        <v>338.0</v>
      </c>
      <c r="U28" s="86" t="s">
        <v>28</v>
      </c>
      <c r="V28" s="86" t="s">
        <v>28</v>
      </c>
      <c r="W28" s="86" t="s">
        <v>28</v>
      </c>
      <c r="X28" s="86" t="s">
        <v>28</v>
      </c>
      <c r="Y28" s="86" t="s">
        <v>28</v>
      </c>
      <c r="Z28" s="86" t="s">
        <v>28</v>
      </c>
      <c r="AA28" s="86" t="s">
        <v>28</v>
      </c>
      <c r="AB28" s="35">
        <f t="shared" si="4"/>
        <v>300.3333333</v>
      </c>
      <c r="AC28" s="35">
        <f t="shared" si="14"/>
        <v>173</v>
      </c>
      <c r="AD28" s="35" t="str">
        <f t="shared" si="6"/>
        <v>&gt;</v>
      </c>
      <c r="AE28" s="35">
        <f t="shared" si="7"/>
        <v>150.1666667</v>
      </c>
      <c r="AF28" s="78">
        <v>300.0</v>
      </c>
      <c r="AG28" s="76" t="str">
        <f t="shared" si="8"/>
        <v>SI</v>
      </c>
      <c r="AH28" s="76" t="str">
        <f t="shared" si="9"/>
        <v>SI</v>
      </c>
    </row>
    <row r="29" ht="15.75" customHeight="1">
      <c r="B29" s="73">
        <v>23.0</v>
      </c>
      <c r="C29" s="77" t="s">
        <v>97</v>
      </c>
      <c r="D29" s="72">
        <v>3.92</v>
      </c>
      <c r="E29" s="72">
        <v>1.7</v>
      </c>
      <c r="F29" s="72">
        <v>2.85</v>
      </c>
      <c r="G29" s="69">
        <f t="shared" si="10"/>
        <v>0.4160579384</v>
      </c>
      <c r="H29" s="72">
        <v>1.0</v>
      </c>
      <c r="I29" s="72">
        <v>2.0</v>
      </c>
      <c r="J29" s="72">
        <f t="shared" si="11"/>
        <v>3</v>
      </c>
      <c r="K29" s="72">
        <f t="shared" si="12"/>
        <v>9</v>
      </c>
      <c r="L29" s="85">
        <v>216.0</v>
      </c>
      <c r="M29" s="85">
        <v>320.0</v>
      </c>
      <c r="N29" s="85">
        <v>347.0</v>
      </c>
      <c r="O29" s="85">
        <v>242.0</v>
      </c>
      <c r="P29" s="85">
        <v>290.0</v>
      </c>
      <c r="Q29" s="85">
        <v>344.0</v>
      </c>
      <c r="R29" s="85">
        <v>405.0</v>
      </c>
      <c r="S29" s="85">
        <v>299.0</v>
      </c>
      <c r="T29" s="85">
        <v>345.0</v>
      </c>
      <c r="U29" s="86" t="s">
        <v>28</v>
      </c>
      <c r="V29" s="86" t="s">
        <v>28</v>
      </c>
      <c r="W29" s="86" t="s">
        <v>28</v>
      </c>
      <c r="X29" s="86" t="s">
        <v>28</v>
      </c>
      <c r="Y29" s="86" t="s">
        <v>28</v>
      </c>
      <c r="Z29" s="86" t="s">
        <v>28</v>
      </c>
      <c r="AA29" s="86" t="s">
        <v>28</v>
      </c>
      <c r="AB29" s="35">
        <f t="shared" si="4"/>
        <v>312</v>
      </c>
      <c r="AC29" s="35">
        <f t="shared" si="14"/>
        <v>216</v>
      </c>
      <c r="AD29" s="35" t="str">
        <f t="shared" si="6"/>
        <v>&gt;</v>
      </c>
      <c r="AE29" s="35">
        <f t="shared" si="7"/>
        <v>156</v>
      </c>
      <c r="AF29" s="78">
        <v>300.0</v>
      </c>
      <c r="AG29" s="76" t="str">
        <f t="shared" si="8"/>
        <v>SI</v>
      </c>
      <c r="AH29" s="76" t="str">
        <f t="shared" si="9"/>
        <v>SI</v>
      </c>
    </row>
    <row r="30" ht="15.75" customHeight="1">
      <c r="B30" s="72">
        <v>24.0</v>
      </c>
      <c r="C30" s="77" t="s">
        <v>47</v>
      </c>
      <c r="D30" s="86" t="s">
        <v>28</v>
      </c>
      <c r="E30" s="86" t="s">
        <v>28</v>
      </c>
      <c r="F30" s="86" t="s">
        <v>28</v>
      </c>
      <c r="G30" s="87" t="s">
        <v>28</v>
      </c>
      <c r="H30" s="86" t="s">
        <v>28</v>
      </c>
      <c r="I30" s="86" t="s">
        <v>28</v>
      </c>
      <c r="J30" s="86" t="s">
        <v>28</v>
      </c>
      <c r="K30" s="86" t="s">
        <v>28</v>
      </c>
      <c r="L30" s="85">
        <v>97.0</v>
      </c>
      <c r="M30" s="85">
        <v>136.0</v>
      </c>
      <c r="N30" s="85">
        <v>146.0</v>
      </c>
      <c r="O30" s="86" t="s">
        <v>28</v>
      </c>
      <c r="P30" s="86" t="s">
        <v>28</v>
      </c>
      <c r="Q30" s="86" t="s">
        <v>28</v>
      </c>
      <c r="R30" s="86" t="s">
        <v>28</v>
      </c>
      <c r="S30" s="86" t="s">
        <v>28</v>
      </c>
      <c r="T30" s="86" t="s">
        <v>28</v>
      </c>
      <c r="U30" s="86" t="s">
        <v>28</v>
      </c>
      <c r="V30" s="86" t="s">
        <v>28</v>
      </c>
      <c r="W30" s="86" t="s">
        <v>28</v>
      </c>
      <c r="X30" s="86" t="s">
        <v>28</v>
      </c>
      <c r="Y30" s="86" t="s">
        <v>28</v>
      </c>
      <c r="Z30" s="86" t="s">
        <v>28</v>
      </c>
      <c r="AA30" s="86" t="s">
        <v>28</v>
      </c>
      <c r="AB30" s="35">
        <f t="shared" si="4"/>
        <v>126.3333333</v>
      </c>
      <c r="AC30" s="35">
        <f t="shared" si="14"/>
        <v>97</v>
      </c>
      <c r="AD30" s="35" t="str">
        <f t="shared" si="6"/>
        <v>&gt;</v>
      </c>
      <c r="AE30" s="35">
        <f t="shared" si="7"/>
        <v>63.16666667</v>
      </c>
      <c r="AF30" s="78">
        <v>300.0</v>
      </c>
      <c r="AG30" s="76" t="str">
        <f t="shared" si="8"/>
        <v>SI</v>
      </c>
      <c r="AH30" s="76" t="str">
        <f t="shared" si="9"/>
        <v>NO</v>
      </c>
    </row>
    <row r="31" ht="15.75" customHeight="1">
      <c r="B31" s="60" t="s">
        <v>87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4"/>
    </row>
    <row r="32" ht="15.75" customHeight="1">
      <c r="B32" s="11" t="s">
        <v>94</v>
      </c>
      <c r="C32" s="11" t="s">
        <v>4</v>
      </c>
      <c r="D32" s="62" t="s">
        <v>5</v>
      </c>
      <c r="E32" s="8"/>
      <c r="F32" s="9"/>
      <c r="G32" s="11" t="s">
        <v>6</v>
      </c>
      <c r="H32" s="11" t="s">
        <v>7</v>
      </c>
      <c r="I32" s="11" t="s">
        <v>8</v>
      </c>
      <c r="J32" s="11" t="s">
        <v>9</v>
      </c>
      <c r="K32" s="11" t="s">
        <v>10</v>
      </c>
      <c r="L32" s="62" t="s">
        <v>11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63"/>
      <c r="AB32" s="11" t="s">
        <v>15</v>
      </c>
      <c r="AC32" s="64" t="s">
        <v>14</v>
      </c>
      <c r="AD32" s="13"/>
      <c r="AE32" s="14"/>
      <c r="AF32" s="11" t="s">
        <v>16</v>
      </c>
      <c r="AG32" s="11" t="s">
        <v>17</v>
      </c>
      <c r="AH32" s="11" t="s">
        <v>18</v>
      </c>
    </row>
    <row r="33" ht="29.25" customHeight="1">
      <c r="B33" s="15"/>
      <c r="C33" s="15"/>
      <c r="D33" s="65" t="s">
        <v>21</v>
      </c>
      <c r="E33" s="65" t="s">
        <v>22</v>
      </c>
      <c r="F33" s="65" t="s">
        <v>23</v>
      </c>
      <c r="G33" s="15"/>
      <c r="H33" s="15"/>
      <c r="I33" s="15"/>
      <c r="J33" s="15"/>
      <c r="K33" s="15"/>
      <c r="L33" s="66">
        <v>1.0</v>
      </c>
      <c r="M33" s="66">
        <v>2.0</v>
      </c>
      <c r="N33" s="66">
        <v>3.0</v>
      </c>
      <c r="O33" s="66">
        <v>4.0</v>
      </c>
      <c r="P33" s="66">
        <v>5.0</v>
      </c>
      <c r="Q33" s="66">
        <v>6.0</v>
      </c>
      <c r="R33" s="66">
        <v>7.0</v>
      </c>
      <c r="S33" s="66">
        <v>8.0</v>
      </c>
      <c r="T33" s="66">
        <v>9.0</v>
      </c>
      <c r="U33" s="66">
        <v>10.0</v>
      </c>
      <c r="V33" s="66">
        <v>11.0</v>
      </c>
      <c r="W33" s="66">
        <v>12.0</v>
      </c>
      <c r="X33" s="66">
        <v>13.0</v>
      </c>
      <c r="Y33" s="66">
        <v>14.0</v>
      </c>
      <c r="Z33" s="66">
        <v>15.0</v>
      </c>
      <c r="AA33" s="66">
        <v>16.0</v>
      </c>
      <c r="AB33" s="15"/>
      <c r="AC33" s="18"/>
      <c r="AD33" s="19"/>
      <c r="AE33" s="20"/>
      <c r="AF33" s="15"/>
      <c r="AG33" s="15"/>
      <c r="AH33" s="15"/>
    </row>
    <row r="34" ht="15.75" customHeight="1">
      <c r="B34" s="72">
        <v>25.0</v>
      </c>
      <c r="C34" s="77" t="s">
        <v>48</v>
      </c>
      <c r="D34" s="86" t="s">
        <v>28</v>
      </c>
      <c r="E34" s="86" t="s">
        <v>28</v>
      </c>
      <c r="F34" s="86" t="s">
        <v>28</v>
      </c>
      <c r="G34" s="86" t="s">
        <v>28</v>
      </c>
      <c r="H34" s="86" t="s">
        <v>28</v>
      </c>
      <c r="I34" s="86" t="s">
        <v>28</v>
      </c>
      <c r="J34" s="86" t="s">
        <v>28</v>
      </c>
      <c r="K34" s="86" t="s">
        <v>28</v>
      </c>
      <c r="L34" s="85">
        <v>79.0</v>
      </c>
      <c r="M34" s="85">
        <v>68.0</v>
      </c>
      <c r="N34" s="85">
        <v>169.0</v>
      </c>
      <c r="O34" s="86" t="s">
        <v>28</v>
      </c>
      <c r="P34" s="86" t="s">
        <v>28</v>
      </c>
      <c r="Q34" s="86" t="s">
        <v>28</v>
      </c>
      <c r="R34" s="86" t="s">
        <v>28</v>
      </c>
      <c r="S34" s="86" t="s">
        <v>28</v>
      </c>
      <c r="T34" s="86" t="s">
        <v>28</v>
      </c>
      <c r="U34" s="86" t="s">
        <v>28</v>
      </c>
      <c r="V34" s="86" t="s">
        <v>28</v>
      </c>
      <c r="W34" s="86" t="s">
        <v>28</v>
      </c>
      <c r="X34" s="86" t="s">
        <v>28</v>
      </c>
      <c r="Y34" s="86" t="s">
        <v>28</v>
      </c>
      <c r="Z34" s="86" t="s">
        <v>28</v>
      </c>
      <c r="AA34" s="86" t="s">
        <v>28</v>
      </c>
      <c r="AB34" s="35">
        <f t="shared" ref="AB34:AB63" si="15">AVERAGE(L34:AA34)</f>
        <v>105.3333333</v>
      </c>
      <c r="AC34" s="35">
        <f t="shared" ref="AC34:AC63" si="16">MIN(L34:Z34)</f>
        <v>68</v>
      </c>
      <c r="AD34" s="35" t="str">
        <f t="shared" ref="AD34:AD63" si="17">IF(AC34&gt;AE34,"&gt;","&lt;")</f>
        <v>&gt;</v>
      </c>
      <c r="AE34" s="35">
        <f t="shared" ref="AE34:AE63" si="18">+AB34/2</f>
        <v>52.66666667</v>
      </c>
      <c r="AF34" s="78">
        <v>100.0</v>
      </c>
      <c r="AG34" s="76" t="str">
        <f t="shared" ref="AG34:AG63" si="19">IF(AC34&gt;AE34,"SI","NO")</f>
        <v>SI</v>
      </c>
      <c r="AH34" s="76" t="str">
        <f t="shared" ref="AH34:AH63" si="20">IF(AB34&gt;AF34,"SI","NO")</f>
        <v>SI</v>
      </c>
    </row>
    <row r="35" ht="15.75" customHeight="1">
      <c r="B35" s="72">
        <v>26.0</v>
      </c>
      <c r="C35" s="77" t="s">
        <v>49</v>
      </c>
      <c r="D35" s="86" t="s">
        <v>28</v>
      </c>
      <c r="E35" s="86" t="s">
        <v>28</v>
      </c>
      <c r="F35" s="86" t="s">
        <v>28</v>
      </c>
      <c r="G35" s="86" t="s">
        <v>28</v>
      </c>
      <c r="H35" s="86" t="s">
        <v>28</v>
      </c>
      <c r="I35" s="86" t="s">
        <v>28</v>
      </c>
      <c r="J35" s="86" t="s">
        <v>28</v>
      </c>
      <c r="K35" s="86" t="s">
        <v>28</v>
      </c>
      <c r="L35" s="85">
        <v>148.0</v>
      </c>
      <c r="M35" s="85">
        <v>154.0</v>
      </c>
      <c r="N35" s="85">
        <v>192.0</v>
      </c>
      <c r="O35" s="86" t="s">
        <v>28</v>
      </c>
      <c r="P35" s="86" t="s">
        <v>28</v>
      </c>
      <c r="Q35" s="86" t="s">
        <v>28</v>
      </c>
      <c r="R35" s="86" t="s">
        <v>28</v>
      </c>
      <c r="S35" s="86" t="s">
        <v>28</v>
      </c>
      <c r="T35" s="86" t="s">
        <v>28</v>
      </c>
      <c r="U35" s="86" t="s">
        <v>28</v>
      </c>
      <c r="V35" s="86" t="s">
        <v>28</v>
      </c>
      <c r="W35" s="86" t="s">
        <v>28</v>
      </c>
      <c r="X35" s="86" t="s">
        <v>28</v>
      </c>
      <c r="Y35" s="86" t="s">
        <v>28</v>
      </c>
      <c r="Z35" s="86" t="s">
        <v>28</v>
      </c>
      <c r="AA35" s="86" t="s">
        <v>28</v>
      </c>
      <c r="AB35" s="35">
        <f t="shared" si="15"/>
        <v>164.6666667</v>
      </c>
      <c r="AC35" s="35">
        <f t="shared" si="16"/>
        <v>148</v>
      </c>
      <c r="AD35" s="35" t="str">
        <f t="shared" si="17"/>
        <v>&gt;</v>
      </c>
      <c r="AE35" s="35">
        <f t="shared" si="18"/>
        <v>82.33333333</v>
      </c>
      <c r="AF35" s="78">
        <v>100.0</v>
      </c>
      <c r="AG35" s="76" t="str">
        <f t="shared" si="19"/>
        <v>SI</v>
      </c>
      <c r="AH35" s="76" t="str">
        <f t="shared" si="20"/>
        <v>SI</v>
      </c>
    </row>
    <row r="36" ht="15.75" customHeight="1">
      <c r="B36" s="73">
        <v>27.0</v>
      </c>
      <c r="C36" s="81" t="s">
        <v>50</v>
      </c>
      <c r="D36" s="86" t="s">
        <v>28</v>
      </c>
      <c r="E36" s="86" t="s">
        <v>28</v>
      </c>
      <c r="F36" s="86" t="s">
        <v>28</v>
      </c>
      <c r="G36" s="86" t="s">
        <v>28</v>
      </c>
      <c r="H36" s="86" t="s">
        <v>28</v>
      </c>
      <c r="I36" s="86" t="s">
        <v>28</v>
      </c>
      <c r="J36" s="86" t="s">
        <v>28</v>
      </c>
      <c r="K36" s="86" t="s">
        <v>28</v>
      </c>
      <c r="L36" s="85">
        <v>192.0</v>
      </c>
      <c r="M36" s="85">
        <v>147.0</v>
      </c>
      <c r="N36" s="85">
        <v>77.0</v>
      </c>
      <c r="O36" s="86" t="s">
        <v>28</v>
      </c>
      <c r="P36" s="86" t="s">
        <v>28</v>
      </c>
      <c r="Q36" s="86" t="s">
        <v>28</v>
      </c>
      <c r="R36" s="86" t="s">
        <v>28</v>
      </c>
      <c r="S36" s="86" t="s">
        <v>28</v>
      </c>
      <c r="T36" s="86" t="s">
        <v>28</v>
      </c>
      <c r="U36" s="86" t="s">
        <v>28</v>
      </c>
      <c r="V36" s="86" t="s">
        <v>28</v>
      </c>
      <c r="W36" s="86" t="s">
        <v>28</v>
      </c>
      <c r="X36" s="86" t="s">
        <v>28</v>
      </c>
      <c r="Y36" s="86" t="s">
        <v>28</v>
      </c>
      <c r="Z36" s="86" t="s">
        <v>28</v>
      </c>
      <c r="AA36" s="86" t="s">
        <v>28</v>
      </c>
      <c r="AB36" s="35">
        <f t="shared" si="15"/>
        <v>138.6666667</v>
      </c>
      <c r="AC36" s="35">
        <f t="shared" si="16"/>
        <v>77</v>
      </c>
      <c r="AD36" s="35" t="str">
        <f t="shared" si="17"/>
        <v>&gt;</v>
      </c>
      <c r="AE36" s="35">
        <f t="shared" si="18"/>
        <v>69.33333333</v>
      </c>
      <c r="AF36" s="78">
        <v>100.0</v>
      </c>
      <c r="AG36" s="76" t="str">
        <f t="shared" si="19"/>
        <v>SI</v>
      </c>
      <c r="AH36" s="76" t="str">
        <f t="shared" si="20"/>
        <v>SI</v>
      </c>
    </row>
    <row r="37" ht="15.75" customHeight="1">
      <c r="B37" s="72">
        <v>28.0</v>
      </c>
      <c r="C37" s="81" t="s">
        <v>51</v>
      </c>
      <c r="D37" s="86" t="s">
        <v>28</v>
      </c>
      <c r="E37" s="86" t="s">
        <v>28</v>
      </c>
      <c r="F37" s="86" t="s">
        <v>28</v>
      </c>
      <c r="G37" s="86" t="s">
        <v>28</v>
      </c>
      <c r="H37" s="86" t="s">
        <v>28</v>
      </c>
      <c r="I37" s="86" t="s">
        <v>28</v>
      </c>
      <c r="J37" s="86" t="s">
        <v>28</v>
      </c>
      <c r="K37" s="86" t="s">
        <v>28</v>
      </c>
      <c r="L37" s="85">
        <v>252.0</v>
      </c>
      <c r="M37" s="85">
        <v>272.0</v>
      </c>
      <c r="N37" s="86" t="s">
        <v>28</v>
      </c>
      <c r="O37" s="86" t="s">
        <v>28</v>
      </c>
      <c r="P37" s="86" t="s">
        <v>28</v>
      </c>
      <c r="Q37" s="86" t="s">
        <v>28</v>
      </c>
      <c r="R37" s="86" t="s">
        <v>28</v>
      </c>
      <c r="S37" s="86" t="s">
        <v>28</v>
      </c>
      <c r="T37" s="86" t="s">
        <v>28</v>
      </c>
      <c r="U37" s="86" t="s">
        <v>28</v>
      </c>
      <c r="V37" s="86" t="s">
        <v>28</v>
      </c>
      <c r="W37" s="86" t="s">
        <v>28</v>
      </c>
      <c r="X37" s="86" t="s">
        <v>28</v>
      </c>
      <c r="Y37" s="86" t="s">
        <v>28</v>
      </c>
      <c r="Z37" s="86" t="s">
        <v>28</v>
      </c>
      <c r="AA37" s="86" t="s">
        <v>28</v>
      </c>
      <c r="AB37" s="35">
        <f t="shared" si="15"/>
        <v>262</v>
      </c>
      <c r="AC37" s="35">
        <f t="shared" si="16"/>
        <v>252</v>
      </c>
      <c r="AD37" s="35" t="str">
        <f t="shared" si="17"/>
        <v>&gt;</v>
      </c>
      <c r="AE37" s="35">
        <f t="shared" si="18"/>
        <v>131</v>
      </c>
      <c r="AF37" s="78">
        <v>100.0</v>
      </c>
      <c r="AG37" s="76" t="str">
        <f t="shared" si="19"/>
        <v>SI</v>
      </c>
      <c r="AH37" s="76" t="str">
        <f t="shared" si="20"/>
        <v>SI</v>
      </c>
    </row>
    <row r="38" ht="15.75" customHeight="1">
      <c r="B38" s="72">
        <v>29.0</v>
      </c>
      <c r="C38" s="77" t="s">
        <v>52</v>
      </c>
      <c r="D38" s="86" t="s">
        <v>28</v>
      </c>
      <c r="E38" s="86" t="s">
        <v>28</v>
      </c>
      <c r="F38" s="86" t="s">
        <v>28</v>
      </c>
      <c r="G38" s="86" t="s">
        <v>28</v>
      </c>
      <c r="H38" s="86" t="s">
        <v>28</v>
      </c>
      <c r="I38" s="86" t="s">
        <v>28</v>
      </c>
      <c r="J38" s="86" t="s">
        <v>28</v>
      </c>
      <c r="K38" s="86" t="s">
        <v>28</v>
      </c>
      <c r="L38" s="85">
        <v>345.0</v>
      </c>
      <c r="M38" s="85">
        <v>432.0</v>
      </c>
      <c r="N38" s="86" t="s">
        <v>28</v>
      </c>
      <c r="O38" s="86" t="s">
        <v>28</v>
      </c>
      <c r="P38" s="86" t="s">
        <v>28</v>
      </c>
      <c r="Q38" s="86" t="s">
        <v>28</v>
      </c>
      <c r="R38" s="86" t="s">
        <v>28</v>
      </c>
      <c r="S38" s="86" t="s">
        <v>28</v>
      </c>
      <c r="T38" s="86" t="s">
        <v>28</v>
      </c>
      <c r="U38" s="86" t="s">
        <v>28</v>
      </c>
      <c r="V38" s="86" t="s">
        <v>28</v>
      </c>
      <c r="W38" s="86" t="s">
        <v>28</v>
      </c>
      <c r="X38" s="86" t="s">
        <v>28</v>
      </c>
      <c r="Y38" s="86" t="s">
        <v>28</v>
      </c>
      <c r="Z38" s="86" t="s">
        <v>28</v>
      </c>
      <c r="AA38" s="86" t="s">
        <v>28</v>
      </c>
      <c r="AB38" s="35">
        <f t="shared" si="15"/>
        <v>388.5</v>
      </c>
      <c r="AC38" s="35">
        <f t="shared" si="16"/>
        <v>345</v>
      </c>
      <c r="AD38" s="35" t="str">
        <f t="shared" si="17"/>
        <v>&gt;</v>
      </c>
      <c r="AE38" s="35">
        <f t="shared" si="18"/>
        <v>194.25</v>
      </c>
      <c r="AF38" s="78">
        <v>100.0</v>
      </c>
      <c r="AG38" s="76" t="str">
        <f t="shared" si="19"/>
        <v>SI</v>
      </c>
      <c r="AH38" s="76" t="str">
        <f t="shared" si="20"/>
        <v>SI</v>
      </c>
    </row>
    <row r="39" ht="15.75" customHeight="1">
      <c r="B39" s="73">
        <v>30.0</v>
      </c>
      <c r="C39" s="77" t="s">
        <v>53</v>
      </c>
      <c r="D39" s="72">
        <v>2.6</v>
      </c>
      <c r="E39" s="72">
        <v>2.33</v>
      </c>
      <c r="F39" s="72">
        <v>2.7</v>
      </c>
      <c r="G39" s="69">
        <f t="shared" ref="G39:G47" si="21">+(D39*E39)/(F39*(D39+E39))</f>
        <v>0.4551123131</v>
      </c>
      <c r="H39" s="72">
        <v>1.0</v>
      </c>
      <c r="I39" s="72">
        <v>2.0</v>
      </c>
      <c r="J39" s="72">
        <f t="shared" ref="J39:J47" si="22">+H39+I39</f>
        <v>3</v>
      </c>
      <c r="K39" s="72">
        <f t="shared" ref="K39:K47" si="23">POWER(J39,2)</f>
        <v>9</v>
      </c>
      <c r="L39" s="85">
        <v>206.0</v>
      </c>
      <c r="M39" s="85">
        <v>199.0</v>
      </c>
      <c r="N39" s="85">
        <v>233.0</v>
      </c>
      <c r="O39" s="85">
        <v>181.0</v>
      </c>
      <c r="P39" s="85">
        <v>184.0</v>
      </c>
      <c r="Q39" s="85">
        <v>156.0</v>
      </c>
      <c r="R39" s="85">
        <v>206.0</v>
      </c>
      <c r="S39" s="85">
        <v>242.0</v>
      </c>
      <c r="T39" s="85">
        <v>235.0</v>
      </c>
      <c r="U39" s="86" t="s">
        <v>28</v>
      </c>
      <c r="V39" s="86" t="s">
        <v>28</v>
      </c>
      <c r="W39" s="86" t="s">
        <v>28</v>
      </c>
      <c r="X39" s="86" t="s">
        <v>28</v>
      </c>
      <c r="Y39" s="86" t="s">
        <v>28</v>
      </c>
      <c r="Z39" s="86" t="s">
        <v>28</v>
      </c>
      <c r="AA39" s="86" t="s">
        <v>28</v>
      </c>
      <c r="AB39" s="35">
        <f t="shared" si="15"/>
        <v>204.6666667</v>
      </c>
      <c r="AC39" s="35">
        <f t="shared" si="16"/>
        <v>156</v>
      </c>
      <c r="AD39" s="35" t="str">
        <f t="shared" si="17"/>
        <v>&gt;</v>
      </c>
      <c r="AE39" s="35">
        <f t="shared" si="18"/>
        <v>102.3333333</v>
      </c>
      <c r="AF39" s="78">
        <v>300.0</v>
      </c>
      <c r="AG39" s="76" t="str">
        <f t="shared" si="19"/>
        <v>SI</v>
      </c>
      <c r="AH39" s="76" t="str">
        <f t="shared" si="20"/>
        <v>NO</v>
      </c>
    </row>
    <row r="40" ht="15.75" customHeight="1">
      <c r="B40" s="72">
        <v>31.0</v>
      </c>
      <c r="C40" s="77" t="s">
        <v>54</v>
      </c>
      <c r="D40" s="72">
        <v>2.61</v>
      </c>
      <c r="E40" s="72">
        <v>4.71</v>
      </c>
      <c r="F40" s="72">
        <v>2.7</v>
      </c>
      <c r="G40" s="69">
        <f t="shared" si="21"/>
        <v>0.6219945355</v>
      </c>
      <c r="H40" s="72">
        <v>1.0</v>
      </c>
      <c r="I40" s="72">
        <v>2.0</v>
      </c>
      <c r="J40" s="72">
        <f t="shared" si="22"/>
        <v>3</v>
      </c>
      <c r="K40" s="72">
        <f t="shared" si="23"/>
        <v>9</v>
      </c>
      <c r="L40" s="85">
        <v>178.0</v>
      </c>
      <c r="M40" s="85">
        <v>223.0</v>
      </c>
      <c r="N40" s="85">
        <v>245.0</v>
      </c>
      <c r="O40" s="85">
        <v>216.0</v>
      </c>
      <c r="P40" s="85">
        <v>235.0</v>
      </c>
      <c r="Q40" s="85">
        <v>278.0</v>
      </c>
      <c r="R40" s="85">
        <v>193.0</v>
      </c>
      <c r="S40" s="85">
        <v>208.0</v>
      </c>
      <c r="T40" s="85">
        <v>278.0</v>
      </c>
      <c r="U40" s="86" t="s">
        <v>28</v>
      </c>
      <c r="V40" s="86" t="s">
        <v>28</v>
      </c>
      <c r="W40" s="86" t="s">
        <v>28</v>
      </c>
      <c r="X40" s="86" t="s">
        <v>28</v>
      </c>
      <c r="Y40" s="86" t="s">
        <v>28</v>
      </c>
      <c r="Z40" s="86" t="s">
        <v>28</v>
      </c>
      <c r="AA40" s="86" t="s">
        <v>28</v>
      </c>
      <c r="AB40" s="35">
        <f t="shared" si="15"/>
        <v>228.2222222</v>
      </c>
      <c r="AC40" s="35">
        <f t="shared" si="16"/>
        <v>178</v>
      </c>
      <c r="AD40" s="35" t="str">
        <f t="shared" si="17"/>
        <v>&gt;</v>
      </c>
      <c r="AE40" s="35">
        <f t="shared" si="18"/>
        <v>114.1111111</v>
      </c>
      <c r="AF40" s="78">
        <v>300.0</v>
      </c>
      <c r="AG40" s="76" t="str">
        <f t="shared" si="19"/>
        <v>SI</v>
      </c>
      <c r="AH40" s="76" t="str">
        <f t="shared" si="20"/>
        <v>NO</v>
      </c>
    </row>
    <row r="41" ht="15.75" customHeight="1">
      <c r="B41" s="72">
        <v>32.0</v>
      </c>
      <c r="C41" s="77" t="s">
        <v>55</v>
      </c>
      <c r="D41" s="72">
        <v>2.35</v>
      </c>
      <c r="E41" s="72">
        <v>2.8</v>
      </c>
      <c r="F41" s="72">
        <v>2.7</v>
      </c>
      <c r="G41" s="69">
        <f t="shared" si="21"/>
        <v>0.4732110752</v>
      </c>
      <c r="H41" s="72">
        <v>1.0</v>
      </c>
      <c r="I41" s="72">
        <v>2.0</v>
      </c>
      <c r="J41" s="72">
        <f t="shared" si="22"/>
        <v>3</v>
      </c>
      <c r="K41" s="72">
        <f t="shared" si="23"/>
        <v>9</v>
      </c>
      <c r="L41" s="85">
        <v>236.0</v>
      </c>
      <c r="M41" s="85">
        <v>309.0</v>
      </c>
      <c r="N41" s="85">
        <v>330.0</v>
      </c>
      <c r="O41" s="85">
        <v>198.0</v>
      </c>
      <c r="P41" s="85">
        <v>234.0</v>
      </c>
      <c r="Q41" s="85">
        <v>278.0</v>
      </c>
      <c r="R41" s="85">
        <v>309.0</v>
      </c>
      <c r="S41" s="85">
        <v>298.0</v>
      </c>
      <c r="T41" s="85">
        <v>378.0</v>
      </c>
      <c r="U41" s="86" t="s">
        <v>28</v>
      </c>
      <c r="V41" s="86" t="s">
        <v>28</v>
      </c>
      <c r="W41" s="86" t="s">
        <v>28</v>
      </c>
      <c r="X41" s="86" t="s">
        <v>28</v>
      </c>
      <c r="Y41" s="86" t="s">
        <v>28</v>
      </c>
      <c r="Z41" s="86" t="s">
        <v>28</v>
      </c>
      <c r="AA41" s="86" t="s">
        <v>28</v>
      </c>
      <c r="AB41" s="35">
        <f t="shared" si="15"/>
        <v>285.5555556</v>
      </c>
      <c r="AC41" s="35">
        <f t="shared" si="16"/>
        <v>198</v>
      </c>
      <c r="AD41" s="35" t="str">
        <f t="shared" si="17"/>
        <v>&gt;</v>
      </c>
      <c r="AE41" s="35">
        <f t="shared" si="18"/>
        <v>142.7777778</v>
      </c>
      <c r="AF41" s="78">
        <v>300.0</v>
      </c>
      <c r="AG41" s="76" t="str">
        <f t="shared" si="19"/>
        <v>SI</v>
      </c>
      <c r="AH41" s="76" t="str">
        <f t="shared" si="20"/>
        <v>NO</v>
      </c>
    </row>
    <row r="42" ht="15.75" customHeight="1">
      <c r="B42" s="73">
        <v>33.0</v>
      </c>
      <c r="C42" s="77" t="s">
        <v>56</v>
      </c>
      <c r="D42" s="72">
        <v>4.1</v>
      </c>
      <c r="E42" s="72">
        <v>7.16</v>
      </c>
      <c r="F42" s="72">
        <v>2.7</v>
      </c>
      <c r="G42" s="69">
        <f t="shared" si="21"/>
        <v>0.9655943688</v>
      </c>
      <c r="H42" s="72">
        <v>1.0</v>
      </c>
      <c r="I42" s="72">
        <v>2.0</v>
      </c>
      <c r="J42" s="72">
        <f t="shared" si="22"/>
        <v>3</v>
      </c>
      <c r="K42" s="72">
        <f t="shared" si="23"/>
        <v>9</v>
      </c>
      <c r="L42" s="85">
        <v>462.0</v>
      </c>
      <c r="M42" s="85">
        <v>461.0</v>
      </c>
      <c r="N42" s="85">
        <v>438.0</v>
      </c>
      <c r="O42" s="85">
        <v>459.0</v>
      </c>
      <c r="P42" s="85">
        <v>440.0</v>
      </c>
      <c r="Q42" s="85">
        <v>394.0</v>
      </c>
      <c r="R42" s="85">
        <v>438.0</v>
      </c>
      <c r="S42" s="85">
        <v>456.0</v>
      </c>
      <c r="T42" s="85">
        <v>543.0</v>
      </c>
      <c r="U42" s="86" t="s">
        <v>28</v>
      </c>
      <c r="V42" s="86" t="s">
        <v>28</v>
      </c>
      <c r="W42" s="86" t="s">
        <v>28</v>
      </c>
      <c r="X42" s="86" t="s">
        <v>28</v>
      </c>
      <c r="Y42" s="86" t="s">
        <v>28</v>
      </c>
      <c r="Z42" s="86" t="s">
        <v>28</v>
      </c>
      <c r="AA42" s="86" t="s">
        <v>28</v>
      </c>
      <c r="AB42" s="35">
        <f t="shared" si="15"/>
        <v>454.5555556</v>
      </c>
      <c r="AC42" s="35">
        <f t="shared" si="16"/>
        <v>394</v>
      </c>
      <c r="AD42" s="35" t="str">
        <f t="shared" si="17"/>
        <v>&gt;</v>
      </c>
      <c r="AE42" s="35">
        <f t="shared" si="18"/>
        <v>227.2777778</v>
      </c>
      <c r="AF42" s="78">
        <v>300.0</v>
      </c>
      <c r="AG42" s="76" t="str">
        <f t="shared" si="19"/>
        <v>SI</v>
      </c>
      <c r="AH42" s="76" t="str">
        <f t="shared" si="20"/>
        <v>SI</v>
      </c>
    </row>
    <row r="43" ht="15.75" customHeight="1">
      <c r="B43" s="72">
        <v>34.0</v>
      </c>
      <c r="C43" s="77" t="s">
        <v>91</v>
      </c>
      <c r="D43" s="88">
        <v>4.04</v>
      </c>
      <c r="E43" s="88">
        <v>3.05</v>
      </c>
      <c r="F43" s="88">
        <v>2.7</v>
      </c>
      <c r="G43" s="69">
        <f t="shared" si="21"/>
        <v>0.6436817636</v>
      </c>
      <c r="H43" s="72">
        <v>1.0</v>
      </c>
      <c r="I43" s="72">
        <v>2.0</v>
      </c>
      <c r="J43" s="72">
        <f t="shared" si="22"/>
        <v>3</v>
      </c>
      <c r="K43" s="72">
        <f t="shared" si="23"/>
        <v>9</v>
      </c>
      <c r="L43" s="85">
        <v>186.0</v>
      </c>
      <c r="M43" s="85">
        <v>220.0</v>
      </c>
      <c r="N43" s="85">
        <v>300.0</v>
      </c>
      <c r="O43" s="85">
        <v>295.0</v>
      </c>
      <c r="P43" s="85">
        <v>242.0</v>
      </c>
      <c r="Q43" s="85">
        <v>195.0</v>
      </c>
      <c r="R43" s="85">
        <v>288.0</v>
      </c>
      <c r="S43" s="85">
        <v>194.0</v>
      </c>
      <c r="T43" s="85">
        <v>278.0</v>
      </c>
      <c r="U43" s="86" t="s">
        <v>28</v>
      </c>
      <c r="V43" s="86" t="s">
        <v>28</v>
      </c>
      <c r="W43" s="86" t="s">
        <v>28</v>
      </c>
      <c r="X43" s="86" t="s">
        <v>28</v>
      </c>
      <c r="Y43" s="86" t="s">
        <v>28</v>
      </c>
      <c r="Z43" s="86" t="s">
        <v>28</v>
      </c>
      <c r="AA43" s="86" t="s">
        <v>28</v>
      </c>
      <c r="AB43" s="35">
        <f t="shared" si="15"/>
        <v>244.2222222</v>
      </c>
      <c r="AC43" s="35">
        <f t="shared" si="16"/>
        <v>186</v>
      </c>
      <c r="AD43" s="35" t="str">
        <f t="shared" si="17"/>
        <v>&gt;</v>
      </c>
      <c r="AE43" s="35">
        <f t="shared" si="18"/>
        <v>122.1111111</v>
      </c>
      <c r="AF43" s="78">
        <v>300.0</v>
      </c>
      <c r="AG43" s="76" t="str">
        <f t="shared" si="19"/>
        <v>SI</v>
      </c>
      <c r="AH43" s="76" t="str">
        <f t="shared" si="20"/>
        <v>NO</v>
      </c>
    </row>
    <row r="44" ht="15.75" customHeight="1">
      <c r="B44" s="72">
        <v>35.0</v>
      </c>
      <c r="C44" s="77" t="s">
        <v>58</v>
      </c>
      <c r="D44" s="72">
        <v>4.67</v>
      </c>
      <c r="E44" s="72">
        <v>4.53</v>
      </c>
      <c r="F44" s="72">
        <v>2.67</v>
      </c>
      <c r="G44" s="69">
        <f t="shared" si="21"/>
        <v>0.8612237421</v>
      </c>
      <c r="H44" s="72">
        <v>1.0</v>
      </c>
      <c r="I44" s="72">
        <v>2.0</v>
      </c>
      <c r="J44" s="72">
        <f t="shared" si="22"/>
        <v>3</v>
      </c>
      <c r="K44" s="72">
        <f t="shared" si="23"/>
        <v>9</v>
      </c>
      <c r="L44" s="85">
        <v>157.0</v>
      </c>
      <c r="M44" s="85">
        <v>172.0</v>
      </c>
      <c r="N44" s="85">
        <v>201.0</v>
      </c>
      <c r="O44" s="85">
        <v>172.0</v>
      </c>
      <c r="P44" s="85">
        <v>152.0</v>
      </c>
      <c r="Q44" s="85">
        <v>197.0</v>
      </c>
      <c r="R44" s="85">
        <v>154.0</v>
      </c>
      <c r="S44" s="85">
        <v>165.0</v>
      </c>
      <c r="T44" s="85">
        <v>198.0</v>
      </c>
      <c r="U44" s="86" t="s">
        <v>28</v>
      </c>
      <c r="V44" s="86" t="s">
        <v>28</v>
      </c>
      <c r="W44" s="86" t="s">
        <v>28</v>
      </c>
      <c r="X44" s="86" t="s">
        <v>28</v>
      </c>
      <c r="Y44" s="86" t="s">
        <v>28</v>
      </c>
      <c r="Z44" s="86" t="s">
        <v>28</v>
      </c>
      <c r="AA44" s="86" t="s">
        <v>28</v>
      </c>
      <c r="AB44" s="35">
        <f t="shared" si="15"/>
        <v>174.2222222</v>
      </c>
      <c r="AC44" s="35">
        <f t="shared" si="16"/>
        <v>152</v>
      </c>
      <c r="AD44" s="35" t="str">
        <f t="shared" si="17"/>
        <v>&gt;</v>
      </c>
      <c r="AE44" s="35">
        <f t="shared" si="18"/>
        <v>87.11111111</v>
      </c>
      <c r="AF44" s="78">
        <v>300.0</v>
      </c>
      <c r="AG44" s="76" t="str">
        <f t="shared" si="19"/>
        <v>SI</v>
      </c>
      <c r="AH44" s="76" t="str">
        <f t="shared" si="20"/>
        <v>NO</v>
      </c>
    </row>
    <row r="45" ht="15.75" customHeight="1">
      <c r="B45" s="73">
        <v>36.0</v>
      </c>
      <c r="C45" s="77" t="s">
        <v>92</v>
      </c>
      <c r="D45" s="72">
        <v>4.06</v>
      </c>
      <c r="E45" s="72">
        <v>2.84</v>
      </c>
      <c r="F45" s="72">
        <v>2.67</v>
      </c>
      <c r="G45" s="69">
        <f t="shared" si="21"/>
        <v>0.6258698366</v>
      </c>
      <c r="H45" s="72">
        <v>1.0</v>
      </c>
      <c r="I45" s="72">
        <v>2.0</v>
      </c>
      <c r="J45" s="72">
        <f t="shared" si="22"/>
        <v>3</v>
      </c>
      <c r="K45" s="72">
        <f t="shared" si="23"/>
        <v>9</v>
      </c>
      <c r="L45" s="85">
        <v>205.0</v>
      </c>
      <c r="M45" s="85">
        <v>279.0</v>
      </c>
      <c r="N45" s="85">
        <v>376.0</v>
      </c>
      <c r="O45" s="85">
        <v>424.0</v>
      </c>
      <c r="P45" s="85">
        <v>396.0</v>
      </c>
      <c r="Q45" s="85">
        <v>377.0</v>
      </c>
      <c r="R45" s="85">
        <v>223.0</v>
      </c>
      <c r="S45" s="85">
        <v>398.0</v>
      </c>
      <c r="T45" s="85">
        <v>367.0</v>
      </c>
      <c r="U45" s="86" t="s">
        <v>28</v>
      </c>
      <c r="V45" s="86" t="s">
        <v>28</v>
      </c>
      <c r="W45" s="86" t="s">
        <v>28</v>
      </c>
      <c r="X45" s="86" t="s">
        <v>28</v>
      </c>
      <c r="Y45" s="86" t="s">
        <v>28</v>
      </c>
      <c r="Z45" s="86" t="s">
        <v>28</v>
      </c>
      <c r="AA45" s="86" t="s">
        <v>28</v>
      </c>
      <c r="AB45" s="35">
        <f t="shared" si="15"/>
        <v>338.3333333</v>
      </c>
      <c r="AC45" s="35">
        <f t="shared" si="16"/>
        <v>205</v>
      </c>
      <c r="AD45" s="35" t="str">
        <f t="shared" si="17"/>
        <v>&gt;</v>
      </c>
      <c r="AE45" s="35">
        <f t="shared" si="18"/>
        <v>169.1666667</v>
      </c>
      <c r="AF45" s="78">
        <v>300.0</v>
      </c>
      <c r="AG45" s="76" t="str">
        <f t="shared" si="19"/>
        <v>SI</v>
      </c>
      <c r="AH45" s="76" t="str">
        <f t="shared" si="20"/>
        <v>SI</v>
      </c>
    </row>
    <row r="46" ht="15.75" customHeight="1">
      <c r="B46" s="72">
        <v>37.0</v>
      </c>
      <c r="C46" s="77" t="s">
        <v>59</v>
      </c>
      <c r="D46" s="72">
        <v>5.6</v>
      </c>
      <c r="E46" s="72">
        <v>4.18</v>
      </c>
      <c r="F46" s="72">
        <v>3.83</v>
      </c>
      <c r="G46" s="69">
        <f t="shared" si="21"/>
        <v>0.6249232461</v>
      </c>
      <c r="H46" s="72">
        <v>1.0</v>
      </c>
      <c r="I46" s="72">
        <v>2.0</v>
      </c>
      <c r="J46" s="72">
        <f t="shared" si="22"/>
        <v>3</v>
      </c>
      <c r="K46" s="72">
        <f t="shared" si="23"/>
        <v>9</v>
      </c>
      <c r="L46" s="85">
        <v>302.0</v>
      </c>
      <c r="M46" s="85">
        <v>441.0</v>
      </c>
      <c r="N46" s="85">
        <v>292.0</v>
      </c>
      <c r="O46" s="85">
        <v>293.0</v>
      </c>
      <c r="P46" s="85">
        <v>354.0</v>
      </c>
      <c r="Q46" s="85">
        <v>382.0</v>
      </c>
      <c r="R46" s="85">
        <v>620.0</v>
      </c>
      <c r="S46" s="85">
        <v>420.0</v>
      </c>
      <c r="T46" s="85">
        <v>324.0</v>
      </c>
      <c r="U46" s="86" t="s">
        <v>28</v>
      </c>
      <c r="V46" s="86" t="s">
        <v>28</v>
      </c>
      <c r="W46" s="86" t="s">
        <v>28</v>
      </c>
      <c r="X46" s="86" t="s">
        <v>28</v>
      </c>
      <c r="Y46" s="86" t="s">
        <v>28</v>
      </c>
      <c r="Z46" s="86" t="s">
        <v>28</v>
      </c>
      <c r="AA46" s="86" t="s">
        <v>28</v>
      </c>
      <c r="AB46" s="35">
        <f t="shared" si="15"/>
        <v>380.8888889</v>
      </c>
      <c r="AC46" s="35">
        <f t="shared" si="16"/>
        <v>292</v>
      </c>
      <c r="AD46" s="35" t="str">
        <f t="shared" si="17"/>
        <v>&gt;</v>
      </c>
      <c r="AE46" s="35">
        <f t="shared" si="18"/>
        <v>190.4444444</v>
      </c>
      <c r="AF46" s="78">
        <v>300.0</v>
      </c>
      <c r="AG46" s="76" t="str">
        <f t="shared" si="19"/>
        <v>SI</v>
      </c>
      <c r="AH46" s="76" t="str">
        <f t="shared" si="20"/>
        <v>SI</v>
      </c>
    </row>
    <row r="47" ht="15.75" customHeight="1">
      <c r="B47" s="72">
        <v>38.0</v>
      </c>
      <c r="C47" s="77" t="s">
        <v>60</v>
      </c>
      <c r="D47" s="72">
        <v>2.6</v>
      </c>
      <c r="E47" s="72">
        <v>2.1</v>
      </c>
      <c r="F47" s="72">
        <v>5.21</v>
      </c>
      <c r="G47" s="69">
        <f t="shared" si="21"/>
        <v>0.2229754564</v>
      </c>
      <c r="H47" s="72">
        <v>1.0</v>
      </c>
      <c r="I47" s="72">
        <v>2.0</v>
      </c>
      <c r="J47" s="72">
        <f t="shared" si="22"/>
        <v>3</v>
      </c>
      <c r="K47" s="72">
        <f t="shared" si="23"/>
        <v>9</v>
      </c>
      <c r="L47" s="85">
        <v>118.0</v>
      </c>
      <c r="M47" s="85">
        <v>141.0</v>
      </c>
      <c r="N47" s="85">
        <v>107.0</v>
      </c>
      <c r="O47" s="85">
        <v>122.0</v>
      </c>
      <c r="P47" s="85">
        <v>138.0</v>
      </c>
      <c r="Q47" s="85">
        <v>123.0</v>
      </c>
      <c r="R47" s="85">
        <v>120.0</v>
      </c>
      <c r="S47" s="85">
        <v>165.0</v>
      </c>
      <c r="T47" s="85">
        <v>187.0</v>
      </c>
      <c r="U47" s="86" t="s">
        <v>28</v>
      </c>
      <c r="V47" s="86" t="s">
        <v>28</v>
      </c>
      <c r="W47" s="86" t="s">
        <v>28</v>
      </c>
      <c r="X47" s="86" t="s">
        <v>28</v>
      </c>
      <c r="Y47" s="86" t="s">
        <v>28</v>
      </c>
      <c r="Z47" s="86" t="s">
        <v>28</v>
      </c>
      <c r="AA47" s="86" t="s">
        <v>28</v>
      </c>
      <c r="AB47" s="35">
        <f t="shared" si="15"/>
        <v>135.6666667</v>
      </c>
      <c r="AC47" s="35">
        <f t="shared" si="16"/>
        <v>107</v>
      </c>
      <c r="AD47" s="35" t="str">
        <f t="shared" si="17"/>
        <v>&gt;</v>
      </c>
      <c r="AE47" s="35">
        <f t="shared" si="18"/>
        <v>67.83333333</v>
      </c>
      <c r="AF47" s="78">
        <v>200.0</v>
      </c>
      <c r="AG47" s="76" t="str">
        <f t="shared" si="19"/>
        <v>SI</v>
      </c>
      <c r="AH47" s="76" t="str">
        <f t="shared" si="20"/>
        <v>NO</v>
      </c>
    </row>
    <row r="48" ht="15.75" customHeight="1">
      <c r="B48" s="73">
        <v>39.0</v>
      </c>
      <c r="C48" s="77" t="s">
        <v>61</v>
      </c>
      <c r="D48" s="86" t="s">
        <v>28</v>
      </c>
      <c r="E48" s="86" t="s">
        <v>28</v>
      </c>
      <c r="F48" s="86" t="s">
        <v>28</v>
      </c>
      <c r="G48" s="86" t="s">
        <v>28</v>
      </c>
      <c r="H48" s="86" t="s">
        <v>28</v>
      </c>
      <c r="I48" s="86" t="s">
        <v>28</v>
      </c>
      <c r="J48" s="86" t="s">
        <v>28</v>
      </c>
      <c r="K48" s="86" t="s">
        <v>28</v>
      </c>
      <c r="L48" s="85">
        <v>234.0</v>
      </c>
      <c r="M48" s="85">
        <v>219.0</v>
      </c>
      <c r="N48" s="86" t="s">
        <v>28</v>
      </c>
      <c r="O48" s="86" t="s">
        <v>28</v>
      </c>
      <c r="P48" s="86" t="s">
        <v>28</v>
      </c>
      <c r="Q48" s="86" t="s">
        <v>28</v>
      </c>
      <c r="R48" s="86" t="s">
        <v>28</v>
      </c>
      <c r="S48" s="86" t="s">
        <v>28</v>
      </c>
      <c r="T48" s="86" t="s">
        <v>28</v>
      </c>
      <c r="U48" s="86" t="s">
        <v>28</v>
      </c>
      <c r="V48" s="86" t="s">
        <v>28</v>
      </c>
      <c r="W48" s="86" t="s">
        <v>28</v>
      </c>
      <c r="X48" s="86" t="s">
        <v>28</v>
      </c>
      <c r="Y48" s="86" t="s">
        <v>28</v>
      </c>
      <c r="Z48" s="86" t="s">
        <v>28</v>
      </c>
      <c r="AA48" s="86" t="s">
        <v>28</v>
      </c>
      <c r="AB48" s="35">
        <f t="shared" si="15"/>
        <v>226.5</v>
      </c>
      <c r="AC48" s="35">
        <f t="shared" si="16"/>
        <v>219</v>
      </c>
      <c r="AD48" s="35" t="str">
        <f t="shared" si="17"/>
        <v>&gt;</v>
      </c>
      <c r="AE48" s="35">
        <f t="shared" si="18"/>
        <v>113.25</v>
      </c>
      <c r="AF48" s="78">
        <v>200.0</v>
      </c>
      <c r="AG48" s="76" t="str">
        <f t="shared" si="19"/>
        <v>SI</v>
      </c>
      <c r="AH48" s="76" t="str">
        <f t="shared" si="20"/>
        <v>SI</v>
      </c>
    </row>
    <row r="49" ht="15.75" customHeight="1">
      <c r="B49" s="72">
        <v>40.0</v>
      </c>
      <c r="C49" s="77" t="s">
        <v>62</v>
      </c>
      <c r="D49" s="72">
        <v>0.297</v>
      </c>
      <c r="E49" s="72">
        <v>3.0</v>
      </c>
      <c r="F49" s="72">
        <v>2.7</v>
      </c>
      <c r="G49" s="67">
        <f>+(D49*E49)/(F49*(D49+E49))</f>
        <v>0.1000909918</v>
      </c>
      <c r="H49" s="72">
        <v>1.0</v>
      </c>
      <c r="I49" s="72">
        <v>2.0</v>
      </c>
      <c r="J49" s="72">
        <f>+H49+I49</f>
        <v>3</v>
      </c>
      <c r="K49" s="72">
        <f>POWER(J49,2)</f>
        <v>9</v>
      </c>
      <c r="L49" s="85">
        <v>361.0</v>
      </c>
      <c r="M49" s="85">
        <v>370.0</v>
      </c>
      <c r="N49" s="85">
        <v>220.0</v>
      </c>
      <c r="O49" s="85">
        <v>289.0</v>
      </c>
      <c r="P49" s="85">
        <v>419.0</v>
      </c>
      <c r="Q49" s="85">
        <v>327.0</v>
      </c>
      <c r="R49" s="85">
        <v>310.0</v>
      </c>
      <c r="S49" s="85">
        <v>337.0</v>
      </c>
      <c r="T49" s="85">
        <v>332.0</v>
      </c>
      <c r="U49" s="86" t="s">
        <v>28</v>
      </c>
      <c r="V49" s="86" t="s">
        <v>28</v>
      </c>
      <c r="W49" s="86" t="s">
        <v>28</v>
      </c>
      <c r="X49" s="86" t="s">
        <v>28</v>
      </c>
      <c r="Y49" s="86" t="s">
        <v>28</v>
      </c>
      <c r="Z49" s="86" t="s">
        <v>28</v>
      </c>
      <c r="AA49" s="86" t="s">
        <v>28</v>
      </c>
      <c r="AB49" s="35">
        <f t="shared" si="15"/>
        <v>329.4444444</v>
      </c>
      <c r="AC49" s="35">
        <f t="shared" si="16"/>
        <v>220</v>
      </c>
      <c r="AD49" s="35" t="str">
        <f t="shared" si="17"/>
        <v>&gt;</v>
      </c>
      <c r="AE49" s="35">
        <f t="shared" si="18"/>
        <v>164.7222222</v>
      </c>
      <c r="AF49" s="78">
        <v>300.0</v>
      </c>
      <c r="AG49" s="76" t="str">
        <f t="shared" si="19"/>
        <v>SI</v>
      </c>
      <c r="AH49" s="76" t="str">
        <f t="shared" si="20"/>
        <v>SI</v>
      </c>
    </row>
    <row r="50" ht="15.75" customHeight="1">
      <c r="B50" s="72">
        <v>41.0</v>
      </c>
      <c r="C50" s="77" t="s">
        <v>63</v>
      </c>
      <c r="D50" s="86" t="s">
        <v>28</v>
      </c>
      <c r="E50" s="86" t="s">
        <v>28</v>
      </c>
      <c r="F50" s="86" t="s">
        <v>28</v>
      </c>
      <c r="G50" s="86" t="s">
        <v>28</v>
      </c>
      <c r="H50" s="86" t="s">
        <v>28</v>
      </c>
      <c r="I50" s="86" t="s">
        <v>28</v>
      </c>
      <c r="J50" s="86" t="s">
        <v>28</v>
      </c>
      <c r="K50" s="86" t="s">
        <v>28</v>
      </c>
      <c r="L50" s="85">
        <v>140.0</v>
      </c>
      <c r="M50" s="85">
        <v>210.0</v>
      </c>
      <c r="N50" s="85">
        <v>107.0</v>
      </c>
      <c r="O50" s="85">
        <v>270.0</v>
      </c>
      <c r="P50" s="86" t="s">
        <v>28</v>
      </c>
      <c r="Q50" s="86" t="s">
        <v>28</v>
      </c>
      <c r="R50" s="86" t="s">
        <v>28</v>
      </c>
      <c r="S50" s="86" t="s">
        <v>28</v>
      </c>
      <c r="T50" s="86" t="s">
        <v>28</v>
      </c>
      <c r="U50" s="86" t="s">
        <v>28</v>
      </c>
      <c r="V50" s="86" t="s">
        <v>28</v>
      </c>
      <c r="W50" s="86" t="s">
        <v>28</v>
      </c>
      <c r="X50" s="86" t="s">
        <v>28</v>
      </c>
      <c r="Y50" s="86" t="s">
        <v>28</v>
      </c>
      <c r="Z50" s="86" t="s">
        <v>28</v>
      </c>
      <c r="AA50" s="86" t="s">
        <v>28</v>
      </c>
      <c r="AB50" s="35">
        <f t="shared" si="15"/>
        <v>181.75</v>
      </c>
      <c r="AC50" s="35">
        <f t="shared" si="16"/>
        <v>107</v>
      </c>
      <c r="AD50" s="35" t="str">
        <f t="shared" si="17"/>
        <v>&gt;</v>
      </c>
      <c r="AE50" s="35">
        <f t="shared" si="18"/>
        <v>90.875</v>
      </c>
      <c r="AF50" s="78">
        <v>100.0</v>
      </c>
      <c r="AG50" s="76" t="str">
        <f t="shared" si="19"/>
        <v>SI</v>
      </c>
      <c r="AH50" s="76" t="str">
        <f t="shared" si="20"/>
        <v>SI</v>
      </c>
    </row>
    <row r="51" ht="15.75" customHeight="1">
      <c r="B51" s="73">
        <v>42.0</v>
      </c>
      <c r="C51" s="77" t="s">
        <v>64</v>
      </c>
      <c r="D51" s="72">
        <v>3.94</v>
      </c>
      <c r="E51" s="72">
        <v>3.35</v>
      </c>
      <c r="F51" s="72">
        <v>3.32</v>
      </c>
      <c r="G51" s="69">
        <f>+(D51*E51)/(F51*(D51+E51))</f>
        <v>0.5453501248</v>
      </c>
      <c r="H51" s="72">
        <v>1.0</v>
      </c>
      <c r="I51" s="72">
        <v>2.0</v>
      </c>
      <c r="J51" s="72">
        <f>+H51+I51</f>
        <v>3</v>
      </c>
      <c r="K51" s="72">
        <f>POWER(J51,2)</f>
        <v>9</v>
      </c>
      <c r="L51" s="85">
        <v>94.0</v>
      </c>
      <c r="M51" s="85">
        <v>100.0</v>
      </c>
      <c r="N51" s="85">
        <v>142.0</v>
      </c>
      <c r="O51" s="85">
        <v>73.0</v>
      </c>
      <c r="P51" s="85">
        <v>66.0</v>
      </c>
      <c r="Q51" s="85">
        <v>98.0</v>
      </c>
      <c r="R51" s="85">
        <v>122.0</v>
      </c>
      <c r="S51" s="85">
        <v>87.0</v>
      </c>
      <c r="T51" s="85">
        <v>123.0</v>
      </c>
      <c r="U51" s="86" t="s">
        <v>28</v>
      </c>
      <c r="V51" s="86" t="s">
        <v>28</v>
      </c>
      <c r="W51" s="86" t="s">
        <v>28</v>
      </c>
      <c r="X51" s="86" t="s">
        <v>28</v>
      </c>
      <c r="Y51" s="86" t="s">
        <v>28</v>
      </c>
      <c r="Z51" s="86" t="s">
        <v>28</v>
      </c>
      <c r="AA51" s="86" t="s">
        <v>28</v>
      </c>
      <c r="AB51" s="35">
        <f t="shared" si="15"/>
        <v>100.5555556</v>
      </c>
      <c r="AC51" s="35">
        <f t="shared" si="16"/>
        <v>66</v>
      </c>
      <c r="AD51" s="35" t="str">
        <f t="shared" si="17"/>
        <v>&gt;</v>
      </c>
      <c r="AE51" s="35">
        <f t="shared" si="18"/>
        <v>50.27777778</v>
      </c>
      <c r="AF51" s="78">
        <v>300.0</v>
      </c>
      <c r="AG51" s="76" t="str">
        <f t="shared" si="19"/>
        <v>SI</v>
      </c>
      <c r="AH51" s="76" t="str">
        <f t="shared" si="20"/>
        <v>NO</v>
      </c>
    </row>
    <row r="52" ht="15.75" customHeight="1">
      <c r="B52" s="72">
        <v>43.0</v>
      </c>
      <c r="C52" s="77" t="s">
        <v>65</v>
      </c>
      <c r="D52" s="86" t="s">
        <v>28</v>
      </c>
      <c r="E52" s="86" t="s">
        <v>28</v>
      </c>
      <c r="F52" s="86" t="s">
        <v>28</v>
      </c>
      <c r="G52" s="86" t="s">
        <v>28</v>
      </c>
      <c r="H52" s="86" t="s">
        <v>28</v>
      </c>
      <c r="I52" s="86" t="s">
        <v>28</v>
      </c>
      <c r="J52" s="86" t="s">
        <v>28</v>
      </c>
      <c r="K52" s="86" t="s">
        <v>28</v>
      </c>
      <c r="L52" s="85">
        <v>231.0</v>
      </c>
      <c r="M52" s="85">
        <v>234.0</v>
      </c>
      <c r="N52" s="86" t="s">
        <v>28</v>
      </c>
      <c r="O52" s="86" t="s">
        <v>28</v>
      </c>
      <c r="P52" s="86" t="s">
        <v>28</v>
      </c>
      <c r="Q52" s="86" t="s">
        <v>28</v>
      </c>
      <c r="R52" s="86" t="s">
        <v>28</v>
      </c>
      <c r="S52" s="86" t="s">
        <v>28</v>
      </c>
      <c r="T52" s="86" t="s">
        <v>28</v>
      </c>
      <c r="U52" s="86" t="s">
        <v>28</v>
      </c>
      <c r="V52" s="86" t="s">
        <v>28</v>
      </c>
      <c r="W52" s="86" t="s">
        <v>28</v>
      </c>
      <c r="X52" s="86" t="s">
        <v>28</v>
      </c>
      <c r="Y52" s="86" t="s">
        <v>28</v>
      </c>
      <c r="Z52" s="86" t="s">
        <v>28</v>
      </c>
      <c r="AA52" s="86" t="s">
        <v>28</v>
      </c>
      <c r="AB52" s="35">
        <f t="shared" si="15"/>
        <v>232.5</v>
      </c>
      <c r="AC52" s="35">
        <f t="shared" si="16"/>
        <v>231</v>
      </c>
      <c r="AD52" s="35" t="str">
        <f t="shared" si="17"/>
        <v>&gt;</v>
      </c>
      <c r="AE52" s="35">
        <f t="shared" si="18"/>
        <v>116.25</v>
      </c>
      <c r="AF52" s="78">
        <v>100.0</v>
      </c>
      <c r="AG52" s="76" t="str">
        <f t="shared" si="19"/>
        <v>SI</v>
      </c>
      <c r="AH52" s="76" t="str">
        <f t="shared" si="20"/>
        <v>SI</v>
      </c>
    </row>
    <row r="53" ht="15.75" customHeight="1">
      <c r="B53" s="72">
        <v>44.0</v>
      </c>
      <c r="C53" s="77" t="s">
        <v>93</v>
      </c>
      <c r="D53" s="86" t="s">
        <v>28</v>
      </c>
      <c r="E53" s="86" t="s">
        <v>28</v>
      </c>
      <c r="F53" s="86" t="s">
        <v>28</v>
      </c>
      <c r="G53" s="86" t="s">
        <v>28</v>
      </c>
      <c r="H53" s="86" t="s">
        <v>28</v>
      </c>
      <c r="I53" s="86" t="s">
        <v>28</v>
      </c>
      <c r="J53" s="86" t="s">
        <v>28</v>
      </c>
      <c r="K53" s="86" t="s">
        <v>28</v>
      </c>
      <c r="L53" s="85">
        <v>272.0</v>
      </c>
      <c r="M53" s="85">
        <v>440.0</v>
      </c>
      <c r="N53" s="86" t="s">
        <v>28</v>
      </c>
      <c r="O53" s="86" t="s">
        <v>28</v>
      </c>
      <c r="P53" s="86" t="s">
        <v>28</v>
      </c>
      <c r="Q53" s="86" t="s">
        <v>28</v>
      </c>
      <c r="R53" s="86" t="s">
        <v>28</v>
      </c>
      <c r="S53" s="86" t="s">
        <v>28</v>
      </c>
      <c r="T53" s="86" t="s">
        <v>28</v>
      </c>
      <c r="U53" s="86" t="s">
        <v>28</v>
      </c>
      <c r="V53" s="86" t="s">
        <v>28</v>
      </c>
      <c r="W53" s="86" t="s">
        <v>28</v>
      </c>
      <c r="X53" s="86" t="s">
        <v>28</v>
      </c>
      <c r="Y53" s="86" t="s">
        <v>28</v>
      </c>
      <c r="Z53" s="86" t="s">
        <v>28</v>
      </c>
      <c r="AA53" s="86" t="s">
        <v>28</v>
      </c>
      <c r="AB53" s="35">
        <f t="shared" si="15"/>
        <v>356</v>
      </c>
      <c r="AC53" s="35">
        <f t="shared" si="16"/>
        <v>272</v>
      </c>
      <c r="AD53" s="35" t="str">
        <f t="shared" si="17"/>
        <v>&gt;</v>
      </c>
      <c r="AE53" s="35">
        <f t="shared" si="18"/>
        <v>178</v>
      </c>
      <c r="AF53" s="78">
        <v>100.0</v>
      </c>
      <c r="AG53" s="76" t="str">
        <f t="shared" si="19"/>
        <v>SI</v>
      </c>
      <c r="AH53" s="76" t="str">
        <f t="shared" si="20"/>
        <v>SI</v>
      </c>
    </row>
    <row r="54" ht="15.75" customHeight="1">
      <c r="B54" s="73">
        <v>45.0</v>
      </c>
      <c r="C54" s="77" t="s">
        <v>98</v>
      </c>
      <c r="D54" s="86" t="s">
        <v>28</v>
      </c>
      <c r="E54" s="86" t="s">
        <v>28</v>
      </c>
      <c r="F54" s="86" t="s">
        <v>28</v>
      </c>
      <c r="G54" s="86" t="s">
        <v>28</v>
      </c>
      <c r="H54" s="86" t="s">
        <v>28</v>
      </c>
      <c r="I54" s="86" t="s">
        <v>28</v>
      </c>
      <c r="J54" s="86" t="s">
        <v>28</v>
      </c>
      <c r="K54" s="86" t="s">
        <v>28</v>
      </c>
      <c r="L54" s="85">
        <v>359.0</v>
      </c>
      <c r="M54" s="85">
        <v>382.0</v>
      </c>
      <c r="N54" s="86" t="s">
        <v>28</v>
      </c>
      <c r="O54" s="86" t="s">
        <v>28</v>
      </c>
      <c r="P54" s="86" t="s">
        <v>28</v>
      </c>
      <c r="Q54" s="86" t="s">
        <v>28</v>
      </c>
      <c r="R54" s="86" t="s">
        <v>28</v>
      </c>
      <c r="S54" s="86" t="s">
        <v>28</v>
      </c>
      <c r="T54" s="86" t="s">
        <v>28</v>
      </c>
      <c r="U54" s="86" t="s">
        <v>28</v>
      </c>
      <c r="V54" s="86" t="s">
        <v>28</v>
      </c>
      <c r="W54" s="86" t="s">
        <v>28</v>
      </c>
      <c r="X54" s="86" t="s">
        <v>28</v>
      </c>
      <c r="Y54" s="86" t="s">
        <v>28</v>
      </c>
      <c r="Z54" s="86" t="s">
        <v>28</v>
      </c>
      <c r="AA54" s="86" t="s">
        <v>28</v>
      </c>
      <c r="AB54" s="35">
        <f t="shared" si="15"/>
        <v>370.5</v>
      </c>
      <c r="AC54" s="35">
        <f t="shared" si="16"/>
        <v>359</v>
      </c>
      <c r="AD54" s="35" t="str">
        <f t="shared" si="17"/>
        <v>&gt;</v>
      </c>
      <c r="AE54" s="35">
        <f t="shared" si="18"/>
        <v>185.25</v>
      </c>
      <c r="AF54" s="78">
        <v>500.0</v>
      </c>
      <c r="AG54" s="76" t="str">
        <f t="shared" si="19"/>
        <v>SI</v>
      </c>
      <c r="AH54" s="76" t="str">
        <f t="shared" si="20"/>
        <v>NO</v>
      </c>
    </row>
    <row r="55" ht="15.75" customHeight="1">
      <c r="B55" s="72">
        <v>46.0</v>
      </c>
      <c r="C55" s="77" t="s">
        <v>66</v>
      </c>
      <c r="D55" s="72">
        <v>3.78</v>
      </c>
      <c r="E55" s="72">
        <v>2.67</v>
      </c>
      <c r="F55" s="72">
        <v>4.25</v>
      </c>
      <c r="G55" s="69">
        <f>+(D55*E55)/(F55*(D55+E55))</f>
        <v>0.3681751026</v>
      </c>
      <c r="H55" s="72">
        <v>1.0</v>
      </c>
      <c r="I55" s="72">
        <v>2.0</v>
      </c>
      <c r="J55" s="72">
        <f>+H55+I55</f>
        <v>3</v>
      </c>
      <c r="K55" s="72">
        <f>POWER(J55,2)</f>
        <v>9</v>
      </c>
      <c r="L55" s="85">
        <v>442.0</v>
      </c>
      <c r="M55" s="85">
        <v>448.0</v>
      </c>
      <c r="N55" s="85">
        <v>366.0</v>
      </c>
      <c r="O55" s="85">
        <v>398.0</v>
      </c>
      <c r="P55" s="85">
        <v>357.0</v>
      </c>
      <c r="Q55" s="85">
        <v>392.0</v>
      </c>
      <c r="R55" s="85">
        <v>359.0</v>
      </c>
      <c r="S55" s="85">
        <v>345.0</v>
      </c>
      <c r="T55" s="85">
        <v>378.0</v>
      </c>
      <c r="U55" s="86" t="s">
        <v>28</v>
      </c>
      <c r="V55" s="86" t="s">
        <v>28</v>
      </c>
      <c r="W55" s="86" t="s">
        <v>28</v>
      </c>
      <c r="X55" s="86" t="s">
        <v>28</v>
      </c>
      <c r="Y55" s="86" t="s">
        <v>28</v>
      </c>
      <c r="Z55" s="86" t="s">
        <v>28</v>
      </c>
      <c r="AA55" s="86" t="s">
        <v>28</v>
      </c>
      <c r="AB55" s="35">
        <f t="shared" si="15"/>
        <v>387.2222222</v>
      </c>
      <c r="AC55" s="35">
        <f t="shared" si="16"/>
        <v>345</v>
      </c>
      <c r="AD55" s="35" t="str">
        <f t="shared" si="17"/>
        <v>&gt;</v>
      </c>
      <c r="AE55" s="35">
        <f t="shared" si="18"/>
        <v>193.6111111</v>
      </c>
      <c r="AF55" s="78">
        <v>300.0</v>
      </c>
      <c r="AG55" s="76" t="str">
        <f t="shared" si="19"/>
        <v>SI</v>
      </c>
      <c r="AH55" s="76" t="str">
        <f t="shared" si="20"/>
        <v>SI</v>
      </c>
    </row>
    <row r="56" ht="15.75" customHeight="1">
      <c r="B56" s="72">
        <v>47.0</v>
      </c>
      <c r="C56" s="77" t="s">
        <v>99</v>
      </c>
      <c r="D56" s="86" t="s">
        <v>28</v>
      </c>
      <c r="E56" s="86" t="s">
        <v>28</v>
      </c>
      <c r="F56" s="86" t="s">
        <v>28</v>
      </c>
      <c r="G56" s="86" t="s">
        <v>28</v>
      </c>
      <c r="H56" s="86" t="s">
        <v>28</v>
      </c>
      <c r="I56" s="86" t="s">
        <v>28</v>
      </c>
      <c r="J56" s="86" t="s">
        <v>28</v>
      </c>
      <c r="K56" s="86" t="s">
        <v>28</v>
      </c>
      <c r="L56" s="85">
        <v>18.0</v>
      </c>
      <c r="M56" s="85">
        <v>40.0</v>
      </c>
      <c r="N56" s="85">
        <v>26.0</v>
      </c>
      <c r="O56" s="86" t="s">
        <v>28</v>
      </c>
      <c r="P56" s="86" t="s">
        <v>28</v>
      </c>
      <c r="Q56" s="86" t="s">
        <v>28</v>
      </c>
      <c r="R56" s="86" t="s">
        <v>28</v>
      </c>
      <c r="S56" s="86" t="s">
        <v>28</v>
      </c>
      <c r="T56" s="86" t="s">
        <v>28</v>
      </c>
      <c r="U56" s="86" t="s">
        <v>28</v>
      </c>
      <c r="V56" s="86" t="s">
        <v>28</v>
      </c>
      <c r="W56" s="86" t="s">
        <v>28</v>
      </c>
      <c r="X56" s="86" t="s">
        <v>28</v>
      </c>
      <c r="Y56" s="86" t="s">
        <v>28</v>
      </c>
      <c r="Z56" s="86" t="s">
        <v>28</v>
      </c>
      <c r="AA56" s="86" t="s">
        <v>28</v>
      </c>
      <c r="AB56" s="35">
        <f t="shared" si="15"/>
        <v>28</v>
      </c>
      <c r="AC56" s="35">
        <f t="shared" si="16"/>
        <v>18</v>
      </c>
      <c r="AD56" s="35" t="str">
        <f t="shared" si="17"/>
        <v>&gt;</v>
      </c>
      <c r="AE56" s="35">
        <f t="shared" si="18"/>
        <v>14</v>
      </c>
      <c r="AF56" s="78">
        <v>200.0</v>
      </c>
      <c r="AG56" s="76" t="str">
        <f t="shared" si="19"/>
        <v>SI</v>
      </c>
      <c r="AH56" s="76" t="str">
        <f t="shared" si="20"/>
        <v>NO</v>
      </c>
    </row>
    <row r="57" ht="15.75" customHeight="1">
      <c r="B57" s="73">
        <v>48.0</v>
      </c>
      <c r="C57" s="77" t="s">
        <v>67</v>
      </c>
      <c r="D57" s="72">
        <v>7.77</v>
      </c>
      <c r="E57" s="72">
        <v>4.19</v>
      </c>
      <c r="F57" s="72">
        <v>2.94</v>
      </c>
      <c r="G57" s="67">
        <f t="shared" ref="G57:G60" si="24">+(D57*E57)/(F57*(D57+E57))</f>
        <v>0.9258838987</v>
      </c>
      <c r="H57" s="72">
        <v>1.0</v>
      </c>
      <c r="I57" s="72">
        <v>2.0</v>
      </c>
      <c r="J57" s="72">
        <f t="shared" ref="J57:J60" si="25">+H57+I57</f>
        <v>3</v>
      </c>
      <c r="K57" s="72">
        <f t="shared" ref="K57:K60" si="26">POWER(J57,2)</f>
        <v>9</v>
      </c>
      <c r="L57" s="85">
        <v>221.0</v>
      </c>
      <c r="M57" s="85">
        <v>290.0</v>
      </c>
      <c r="N57" s="85">
        <v>435.0</v>
      </c>
      <c r="O57" s="85">
        <v>437.0</v>
      </c>
      <c r="P57" s="85">
        <v>425.0</v>
      </c>
      <c r="Q57" s="85">
        <v>581.0</v>
      </c>
      <c r="R57" s="85">
        <v>494.0</v>
      </c>
      <c r="S57" s="85">
        <v>489.0</v>
      </c>
      <c r="T57" s="85">
        <v>446.0</v>
      </c>
      <c r="U57" s="86" t="s">
        <v>28</v>
      </c>
      <c r="V57" s="86" t="s">
        <v>28</v>
      </c>
      <c r="W57" s="86" t="s">
        <v>28</v>
      </c>
      <c r="X57" s="86" t="s">
        <v>28</v>
      </c>
      <c r="Y57" s="86" t="s">
        <v>28</v>
      </c>
      <c r="Z57" s="86" t="s">
        <v>28</v>
      </c>
      <c r="AA57" s="86" t="s">
        <v>28</v>
      </c>
      <c r="AB57" s="35">
        <f t="shared" si="15"/>
        <v>424.2222222</v>
      </c>
      <c r="AC57" s="35">
        <f t="shared" si="16"/>
        <v>221</v>
      </c>
      <c r="AD57" s="35" t="str">
        <f t="shared" si="17"/>
        <v>&gt;</v>
      </c>
      <c r="AE57" s="35">
        <f t="shared" si="18"/>
        <v>212.1111111</v>
      </c>
      <c r="AF57" s="78">
        <v>500.0</v>
      </c>
      <c r="AG57" s="76" t="str">
        <f t="shared" si="19"/>
        <v>SI</v>
      </c>
      <c r="AH57" s="76" t="str">
        <f t="shared" si="20"/>
        <v>NO</v>
      </c>
    </row>
    <row r="58" ht="15.75" customHeight="1">
      <c r="B58" s="72">
        <v>49.0</v>
      </c>
      <c r="C58" s="77" t="s">
        <v>68</v>
      </c>
      <c r="D58" s="72">
        <v>2.63</v>
      </c>
      <c r="E58" s="72">
        <v>4.18</v>
      </c>
      <c r="F58" s="72">
        <v>2.94</v>
      </c>
      <c r="G58" s="69">
        <f t="shared" si="24"/>
        <v>0.5490824817</v>
      </c>
      <c r="H58" s="72">
        <v>1.0</v>
      </c>
      <c r="I58" s="72">
        <v>2.0</v>
      </c>
      <c r="J58" s="72">
        <f t="shared" si="25"/>
        <v>3</v>
      </c>
      <c r="K58" s="72">
        <f t="shared" si="26"/>
        <v>9</v>
      </c>
      <c r="L58" s="85">
        <v>559.0</v>
      </c>
      <c r="M58" s="85">
        <v>514.0</v>
      </c>
      <c r="N58" s="85">
        <v>529.0</v>
      </c>
      <c r="O58" s="85">
        <v>533.0</v>
      </c>
      <c r="P58" s="85">
        <v>552.0</v>
      </c>
      <c r="Q58" s="85">
        <v>410.0</v>
      </c>
      <c r="R58" s="85">
        <v>534.0</v>
      </c>
      <c r="S58" s="85">
        <v>429.0</v>
      </c>
      <c r="T58" s="85">
        <v>457.0</v>
      </c>
      <c r="U58" s="86" t="s">
        <v>28</v>
      </c>
      <c r="V58" s="86" t="s">
        <v>28</v>
      </c>
      <c r="W58" s="86" t="s">
        <v>28</v>
      </c>
      <c r="X58" s="86" t="s">
        <v>28</v>
      </c>
      <c r="Y58" s="86" t="s">
        <v>28</v>
      </c>
      <c r="Z58" s="86" t="s">
        <v>28</v>
      </c>
      <c r="AA58" s="86" t="s">
        <v>28</v>
      </c>
      <c r="AB58" s="35">
        <f t="shared" si="15"/>
        <v>501.8888889</v>
      </c>
      <c r="AC58" s="35">
        <f t="shared" si="16"/>
        <v>410</v>
      </c>
      <c r="AD58" s="35" t="str">
        <f t="shared" si="17"/>
        <v>&gt;</v>
      </c>
      <c r="AE58" s="35">
        <f t="shared" si="18"/>
        <v>250.9444444</v>
      </c>
      <c r="AF58" s="78">
        <v>300.0</v>
      </c>
      <c r="AG58" s="76" t="str">
        <f t="shared" si="19"/>
        <v>SI</v>
      </c>
      <c r="AH58" s="76" t="str">
        <f t="shared" si="20"/>
        <v>SI</v>
      </c>
    </row>
    <row r="59" ht="15.75" customHeight="1">
      <c r="B59" s="72">
        <v>50.0</v>
      </c>
      <c r="C59" s="77" t="s">
        <v>69</v>
      </c>
      <c r="D59" s="72">
        <v>2.75</v>
      </c>
      <c r="E59" s="72">
        <v>4.21</v>
      </c>
      <c r="F59" s="72">
        <v>2.94</v>
      </c>
      <c r="G59" s="69">
        <f t="shared" si="24"/>
        <v>0.5657938463</v>
      </c>
      <c r="H59" s="72">
        <v>1.0</v>
      </c>
      <c r="I59" s="72">
        <v>2.0</v>
      </c>
      <c r="J59" s="72">
        <f t="shared" si="25"/>
        <v>3</v>
      </c>
      <c r="K59" s="72">
        <f t="shared" si="26"/>
        <v>9</v>
      </c>
      <c r="L59" s="85">
        <v>1.0</v>
      </c>
      <c r="M59" s="85">
        <v>2.0</v>
      </c>
      <c r="N59" s="85">
        <v>3.0</v>
      </c>
      <c r="O59" s="85">
        <v>0.0</v>
      </c>
      <c r="P59" s="85">
        <v>0.0</v>
      </c>
      <c r="Q59" s="85">
        <v>4.0</v>
      </c>
      <c r="R59" s="85">
        <v>5.0</v>
      </c>
      <c r="S59" s="85">
        <v>7.0</v>
      </c>
      <c r="T59" s="85">
        <v>8.0</v>
      </c>
      <c r="U59" s="86" t="s">
        <v>28</v>
      </c>
      <c r="V59" s="86" t="s">
        <v>28</v>
      </c>
      <c r="W59" s="86" t="s">
        <v>28</v>
      </c>
      <c r="X59" s="86" t="s">
        <v>28</v>
      </c>
      <c r="Y59" s="86" t="s">
        <v>28</v>
      </c>
      <c r="Z59" s="86" t="s">
        <v>28</v>
      </c>
      <c r="AA59" s="86" t="s">
        <v>28</v>
      </c>
      <c r="AB59" s="35">
        <f t="shared" si="15"/>
        <v>3.333333333</v>
      </c>
      <c r="AC59" s="35">
        <f t="shared" si="16"/>
        <v>0</v>
      </c>
      <c r="AD59" s="35" t="str">
        <f t="shared" si="17"/>
        <v>&lt;</v>
      </c>
      <c r="AE59" s="35">
        <f t="shared" si="18"/>
        <v>1.666666667</v>
      </c>
      <c r="AF59" s="78">
        <v>50.0</v>
      </c>
      <c r="AG59" s="76" t="str">
        <f t="shared" si="19"/>
        <v>NO</v>
      </c>
      <c r="AH59" s="76" t="str">
        <f t="shared" si="20"/>
        <v>NO</v>
      </c>
    </row>
    <row r="60" ht="15.75" customHeight="1">
      <c r="B60" s="72">
        <v>51.0</v>
      </c>
      <c r="C60" s="77" t="s">
        <v>84</v>
      </c>
      <c r="D60" s="72">
        <v>7.09</v>
      </c>
      <c r="E60" s="72">
        <v>7.72</v>
      </c>
      <c r="F60" s="72">
        <v>3.0</v>
      </c>
      <c r="G60" s="79">
        <f t="shared" si="24"/>
        <v>1.231933378</v>
      </c>
      <c r="H60" s="72">
        <v>1.0</v>
      </c>
      <c r="I60" s="72">
        <v>2.0</v>
      </c>
      <c r="J60" s="72">
        <f t="shared" si="25"/>
        <v>3</v>
      </c>
      <c r="K60" s="72">
        <f t="shared" si="26"/>
        <v>9</v>
      </c>
      <c r="L60" s="85">
        <v>729.0</v>
      </c>
      <c r="M60" s="85">
        <v>425.0</v>
      </c>
      <c r="N60" s="85">
        <v>267.0</v>
      </c>
      <c r="O60" s="85">
        <v>365.0</v>
      </c>
      <c r="P60" s="85">
        <v>492.0</v>
      </c>
      <c r="Q60" s="85">
        <v>703.0</v>
      </c>
      <c r="R60" s="85">
        <v>786.0</v>
      </c>
      <c r="S60" s="85">
        <v>456.0</v>
      </c>
      <c r="T60" s="85">
        <v>367.0</v>
      </c>
      <c r="U60" s="86" t="s">
        <v>28</v>
      </c>
      <c r="V60" s="86" t="s">
        <v>28</v>
      </c>
      <c r="W60" s="86" t="s">
        <v>28</v>
      </c>
      <c r="X60" s="86" t="s">
        <v>28</v>
      </c>
      <c r="Y60" s="86" t="s">
        <v>28</v>
      </c>
      <c r="Z60" s="86" t="s">
        <v>28</v>
      </c>
      <c r="AA60" s="86" t="s">
        <v>28</v>
      </c>
      <c r="AB60" s="35">
        <f t="shared" si="15"/>
        <v>510</v>
      </c>
      <c r="AC60" s="35">
        <f t="shared" si="16"/>
        <v>267</v>
      </c>
      <c r="AD60" s="35" t="str">
        <f t="shared" si="17"/>
        <v>&gt;</v>
      </c>
      <c r="AE60" s="35">
        <f t="shared" si="18"/>
        <v>255</v>
      </c>
      <c r="AF60" s="78">
        <v>300.0</v>
      </c>
      <c r="AG60" s="76" t="str">
        <f t="shared" si="19"/>
        <v>SI</v>
      </c>
      <c r="AH60" s="76" t="str">
        <f t="shared" si="20"/>
        <v>SI</v>
      </c>
    </row>
    <row r="61" ht="15.75" customHeight="1">
      <c r="B61" s="72">
        <v>52.0</v>
      </c>
      <c r="C61" s="77" t="s">
        <v>100</v>
      </c>
      <c r="D61" s="86" t="s">
        <v>28</v>
      </c>
      <c r="E61" s="86" t="s">
        <v>28</v>
      </c>
      <c r="F61" s="86" t="s">
        <v>28</v>
      </c>
      <c r="G61" s="86" t="s">
        <v>28</v>
      </c>
      <c r="H61" s="86" t="s">
        <v>28</v>
      </c>
      <c r="I61" s="86" t="s">
        <v>28</v>
      </c>
      <c r="J61" s="86" t="s">
        <v>28</v>
      </c>
      <c r="K61" s="86" t="s">
        <v>28</v>
      </c>
      <c r="L61" s="85">
        <v>1022.0</v>
      </c>
      <c r="M61" s="85">
        <v>1258.0</v>
      </c>
      <c r="N61" s="86" t="s">
        <v>28</v>
      </c>
      <c r="O61" s="86" t="s">
        <v>28</v>
      </c>
      <c r="P61" s="86" t="s">
        <v>28</v>
      </c>
      <c r="Q61" s="86" t="s">
        <v>28</v>
      </c>
      <c r="R61" s="86" t="s">
        <v>28</v>
      </c>
      <c r="S61" s="86" t="s">
        <v>28</v>
      </c>
      <c r="T61" s="86" t="s">
        <v>28</v>
      </c>
      <c r="U61" s="86" t="s">
        <v>28</v>
      </c>
      <c r="V61" s="86" t="s">
        <v>28</v>
      </c>
      <c r="W61" s="86" t="s">
        <v>28</v>
      </c>
      <c r="X61" s="86" t="s">
        <v>28</v>
      </c>
      <c r="Y61" s="86" t="s">
        <v>28</v>
      </c>
      <c r="Z61" s="86" t="s">
        <v>28</v>
      </c>
      <c r="AA61" s="86" t="s">
        <v>28</v>
      </c>
      <c r="AB61" s="35">
        <f t="shared" si="15"/>
        <v>1140</v>
      </c>
      <c r="AC61" s="35">
        <f t="shared" si="16"/>
        <v>1022</v>
      </c>
      <c r="AD61" s="35" t="str">
        <f t="shared" si="17"/>
        <v>&gt;</v>
      </c>
      <c r="AE61" s="35">
        <f t="shared" si="18"/>
        <v>570</v>
      </c>
      <c r="AF61" s="78">
        <v>300.0</v>
      </c>
      <c r="AG61" s="76" t="str">
        <f t="shared" si="19"/>
        <v>SI</v>
      </c>
      <c r="AH61" s="76" t="str">
        <f t="shared" si="20"/>
        <v>SI</v>
      </c>
    </row>
    <row r="62" ht="15.75" customHeight="1">
      <c r="B62" s="72">
        <v>53.0</v>
      </c>
      <c r="C62" s="77" t="s">
        <v>88</v>
      </c>
      <c r="D62" s="86" t="s">
        <v>28</v>
      </c>
      <c r="E62" s="86" t="s">
        <v>28</v>
      </c>
      <c r="F62" s="86" t="s">
        <v>28</v>
      </c>
      <c r="G62" s="86" t="s">
        <v>28</v>
      </c>
      <c r="H62" s="86" t="s">
        <v>28</v>
      </c>
      <c r="I62" s="86" t="s">
        <v>28</v>
      </c>
      <c r="J62" s="86" t="s">
        <v>28</v>
      </c>
      <c r="K62" s="86" t="s">
        <v>28</v>
      </c>
      <c r="L62" s="85">
        <v>420.0</v>
      </c>
      <c r="M62" s="85">
        <v>442.0</v>
      </c>
      <c r="N62" s="85">
        <v>478.0</v>
      </c>
      <c r="O62" s="85">
        <v>525.0</v>
      </c>
      <c r="P62" s="85">
        <v>533.0</v>
      </c>
      <c r="Q62" s="85">
        <v>565.0</v>
      </c>
      <c r="R62" s="85">
        <v>489.0</v>
      </c>
      <c r="S62" s="85">
        <v>456.0</v>
      </c>
      <c r="T62" s="85">
        <v>367.0</v>
      </c>
      <c r="U62" s="86" t="s">
        <v>28</v>
      </c>
      <c r="V62" s="86" t="s">
        <v>28</v>
      </c>
      <c r="W62" s="86" t="s">
        <v>28</v>
      </c>
      <c r="X62" s="86" t="s">
        <v>28</v>
      </c>
      <c r="Y62" s="86" t="s">
        <v>28</v>
      </c>
      <c r="Z62" s="86" t="s">
        <v>28</v>
      </c>
      <c r="AA62" s="86" t="s">
        <v>28</v>
      </c>
      <c r="AB62" s="35">
        <f t="shared" si="15"/>
        <v>475</v>
      </c>
      <c r="AC62" s="35">
        <f t="shared" si="16"/>
        <v>367</v>
      </c>
      <c r="AD62" s="35" t="str">
        <f t="shared" si="17"/>
        <v>&gt;</v>
      </c>
      <c r="AE62" s="35">
        <f t="shared" si="18"/>
        <v>237.5</v>
      </c>
      <c r="AF62" s="78">
        <v>300.0</v>
      </c>
      <c r="AG62" s="76" t="str">
        <f t="shared" si="19"/>
        <v>SI</v>
      </c>
      <c r="AH62" s="76" t="str">
        <f t="shared" si="20"/>
        <v>SI</v>
      </c>
    </row>
    <row r="63" ht="15.75" customHeight="1">
      <c r="B63" s="72">
        <v>54.0</v>
      </c>
      <c r="C63" s="77" t="s">
        <v>89</v>
      </c>
      <c r="D63" s="86" t="s">
        <v>28</v>
      </c>
      <c r="E63" s="86" t="s">
        <v>28</v>
      </c>
      <c r="F63" s="86" t="s">
        <v>28</v>
      </c>
      <c r="G63" s="86" t="s">
        <v>28</v>
      </c>
      <c r="H63" s="86" t="s">
        <v>28</v>
      </c>
      <c r="I63" s="86" t="s">
        <v>28</v>
      </c>
      <c r="J63" s="86" t="s">
        <v>28</v>
      </c>
      <c r="K63" s="86" t="s">
        <v>28</v>
      </c>
      <c r="L63" s="85">
        <v>239.0</v>
      </c>
      <c r="M63" s="85">
        <v>343.0</v>
      </c>
      <c r="N63" s="86" t="s">
        <v>28</v>
      </c>
      <c r="O63" s="86" t="s">
        <v>28</v>
      </c>
      <c r="P63" s="86" t="s">
        <v>28</v>
      </c>
      <c r="Q63" s="86" t="s">
        <v>28</v>
      </c>
      <c r="R63" s="86" t="s">
        <v>28</v>
      </c>
      <c r="S63" s="86" t="s">
        <v>28</v>
      </c>
      <c r="T63" s="86" t="s">
        <v>28</v>
      </c>
      <c r="U63" s="86" t="s">
        <v>28</v>
      </c>
      <c r="V63" s="86" t="s">
        <v>28</v>
      </c>
      <c r="W63" s="86" t="s">
        <v>28</v>
      </c>
      <c r="X63" s="86" t="s">
        <v>28</v>
      </c>
      <c r="Y63" s="86" t="s">
        <v>28</v>
      </c>
      <c r="Z63" s="86" t="s">
        <v>28</v>
      </c>
      <c r="AA63" s="86" t="s">
        <v>28</v>
      </c>
      <c r="AB63" s="35">
        <f t="shared" si="15"/>
        <v>291</v>
      </c>
      <c r="AC63" s="35">
        <f t="shared" si="16"/>
        <v>239</v>
      </c>
      <c r="AD63" s="35" t="str">
        <f t="shared" si="17"/>
        <v>&gt;</v>
      </c>
      <c r="AE63" s="35">
        <f t="shared" si="18"/>
        <v>145.5</v>
      </c>
      <c r="AF63" s="78">
        <v>100.0</v>
      </c>
      <c r="AG63" s="76" t="str">
        <f t="shared" si="19"/>
        <v>SI</v>
      </c>
      <c r="AH63" s="76" t="str">
        <f t="shared" si="20"/>
        <v>SI</v>
      </c>
    </row>
    <row r="64" ht="15.75" customHeight="1"/>
    <row r="65" ht="15.75" customHeight="1">
      <c r="L65" s="89">
        <v>418.0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G77" s="84">
        <f>AVERAGE(F53:H76)</f>
        <v>1.647391247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G5:AG7"/>
    <mergeCell ref="AH5:AH7"/>
    <mergeCell ref="I32:I33"/>
    <mergeCell ref="J32:J33"/>
    <mergeCell ref="D32:F32"/>
    <mergeCell ref="L32:Z32"/>
    <mergeCell ref="AB32:AB33"/>
    <mergeCell ref="AC32:AE33"/>
    <mergeCell ref="AF32:AF33"/>
    <mergeCell ref="AG32:AG33"/>
    <mergeCell ref="I5:I7"/>
    <mergeCell ref="J5:J7"/>
    <mergeCell ref="K5:K7"/>
    <mergeCell ref="B31:AH31"/>
    <mergeCell ref="B32:B33"/>
    <mergeCell ref="C32:C33"/>
    <mergeCell ref="K32:K33"/>
    <mergeCell ref="AH32:AH33"/>
    <mergeCell ref="D3:F3"/>
    <mergeCell ref="L3:Z3"/>
    <mergeCell ref="AF3:AF4"/>
    <mergeCell ref="AG3:AG4"/>
    <mergeCell ref="C1:Z1"/>
    <mergeCell ref="B2:AH2"/>
    <mergeCell ref="B3:B4"/>
    <mergeCell ref="C3:C4"/>
    <mergeCell ref="G3:G4"/>
    <mergeCell ref="H3:H4"/>
    <mergeCell ref="K3:K4"/>
    <mergeCell ref="AH3:AH4"/>
    <mergeCell ref="G5:G7"/>
    <mergeCell ref="H5:H7"/>
    <mergeCell ref="I3:I4"/>
    <mergeCell ref="J3:J4"/>
    <mergeCell ref="B5:B7"/>
    <mergeCell ref="C5:C7"/>
    <mergeCell ref="D5:D7"/>
    <mergeCell ref="E5:E7"/>
    <mergeCell ref="F5:F7"/>
    <mergeCell ref="AB3:AB4"/>
    <mergeCell ref="AC3:AE4"/>
    <mergeCell ref="AB5:AB7"/>
    <mergeCell ref="AC5:AC7"/>
    <mergeCell ref="AD5:AD7"/>
    <mergeCell ref="AE5:AE7"/>
    <mergeCell ref="AF5:AF7"/>
    <mergeCell ref="G32:G33"/>
    <mergeCell ref="H32:H33"/>
  </mergeCells>
  <conditionalFormatting sqref="AG5:AH5 AG8:AH15 AG19:AH19 AG21:AH22 AG24:AH29 AG36 AG38 AG40:AH40 AG44:AH49 AH36:AH38">
    <cfRule type="cellIs" dxfId="0" priority="1" stopIfTrue="1" operator="equal">
      <formula>"NO"</formula>
    </cfRule>
  </conditionalFormatting>
  <conditionalFormatting sqref="AG30:AH30 AG34:AH35">
    <cfRule type="cellIs" dxfId="0" priority="2" stopIfTrue="1" operator="equal">
      <formula>"NO"</formula>
    </cfRule>
  </conditionalFormatting>
  <conditionalFormatting sqref="AG41:AH41">
    <cfRule type="cellIs" dxfId="0" priority="3" stopIfTrue="1" operator="equal">
      <formula>"NO"</formula>
    </cfRule>
  </conditionalFormatting>
  <conditionalFormatting sqref="AG17:AH17">
    <cfRule type="cellIs" dxfId="0" priority="4" stopIfTrue="1" operator="equal">
      <formula>"NO"</formula>
    </cfRule>
  </conditionalFormatting>
  <conditionalFormatting sqref="AG39:AH39">
    <cfRule type="cellIs" dxfId="0" priority="5" stopIfTrue="1" operator="equal">
      <formula>"NO"</formula>
    </cfRule>
  </conditionalFormatting>
  <conditionalFormatting sqref="AG43:AH43">
    <cfRule type="cellIs" dxfId="0" priority="6" stopIfTrue="1" operator="equal">
      <formula>"NO"</formula>
    </cfRule>
  </conditionalFormatting>
  <conditionalFormatting sqref="AG42:AH42">
    <cfRule type="cellIs" dxfId="0" priority="7" stopIfTrue="1" operator="equal">
      <formula>"NO"</formula>
    </cfRule>
  </conditionalFormatting>
  <conditionalFormatting sqref="AG50:AH63">
    <cfRule type="cellIs" dxfId="0" priority="8" stopIfTrue="1" operator="equal">
      <formula>"NO"</formula>
    </cfRule>
  </conditionalFormatting>
  <conditionalFormatting sqref="AG37">
    <cfRule type="cellIs" dxfId="0" priority="9" stopIfTrue="1" operator="equal">
      <formula>"NO"</formula>
    </cfRule>
  </conditionalFormatting>
  <conditionalFormatting sqref="AG16:AH16">
    <cfRule type="cellIs" dxfId="0" priority="10" stopIfTrue="1" operator="equal">
      <formula>"NO"</formula>
    </cfRule>
  </conditionalFormatting>
  <conditionalFormatting sqref="AG18:AH18">
    <cfRule type="cellIs" dxfId="0" priority="11" stopIfTrue="1" operator="equal">
      <formula>"NO"</formula>
    </cfRule>
  </conditionalFormatting>
  <conditionalFormatting sqref="AG20:AH20">
    <cfRule type="cellIs" dxfId="0" priority="12" stopIfTrue="1" operator="equal">
      <formula>"NO"</formula>
    </cfRule>
  </conditionalFormatting>
  <conditionalFormatting sqref="AG23:AH23">
    <cfRule type="cellIs" dxfId="0" priority="13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9.57"/>
    <col customWidth="1" min="3" max="3" width="46.29"/>
    <col customWidth="1" min="4" max="4" width="8.71"/>
    <col customWidth="1" min="5" max="5" width="8.29"/>
    <col customWidth="1" min="6" max="6" width="6.86"/>
    <col customWidth="1" hidden="1" min="7" max="7" width="7.57"/>
    <col customWidth="1" hidden="1" min="8" max="8" width="6.86"/>
    <col customWidth="1" hidden="1" min="9" max="9" width="9.43"/>
    <col customWidth="1" hidden="1" min="10" max="10" width="7.71"/>
    <col customWidth="1" min="11" max="11" width="8.14"/>
    <col customWidth="1" min="12" max="23" width="18.71"/>
    <col customWidth="1" min="24" max="24" width="29.14"/>
    <col customWidth="1" min="25" max="25" width="78.57"/>
    <col customWidth="1" min="26" max="26" width="11.43"/>
  </cols>
  <sheetData>
    <row r="1" ht="17.25" customHeight="1">
      <c r="A1" s="1"/>
      <c r="B1" s="1"/>
      <c r="C1" s="2" t="s">
        <v>0</v>
      </c>
      <c r="U1" s="90"/>
      <c r="V1" s="90"/>
      <c r="W1" s="90"/>
      <c r="X1" s="90"/>
      <c r="Y1" s="90"/>
      <c r="Z1" s="1"/>
    </row>
    <row r="2" ht="22.5" customHeight="1">
      <c r="A2" s="1"/>
      <c r="B2" s="91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1"/>
    </row>
    <row r="3" ht="45.0" customHeight="1">
      <c r="A3" s="1"/>
      <c r="B3" s="92" t="s">
        <v>3</v>
      </c>
      <c r="C3" s="92" t="s">
        <v>4</v>
      </c>
      <c r="D3" s="93" t="s">
        <v>5</v>
      </c>
      <c r="E3" s="8"/>
      <c r="F3" s="9"/>
      <c r="G3" s="92" t="s">
        <v>6</v>
      </c>
      <c r="H3" s="92" t="s">
        <v>7</v>
      </c>
      <c r="I3" s="92" t="s">
        <v>8</v>
      </c>
      <c r="J3" s="92" t="s">
        <v>9</v>
      </c>
      <c r="K3" s="92" t="s">
        <v>10</v>
      </c>
      <c r="L3" s="93" t="s">
        <v>11</v>
      </c>
      <c r="M3" s="8"/>
      <c r="N3" s="8"/>
      <c r="O3" s="8"/>
      <c r="P3" s="8"/>
      <c r="Q3" s="8"/>
      <c r="R3" s="8"/>
      <c r="S3" s="8"/>
      <c r="T3" s="9"/>
      <c r="U3" s="94" t="s">
        <v>101</v>
      </c>
      <c r="V3" s="95" t="s">
        <v>102</v>
      </c>
      <c r="W3" s="9"/>
      <c r="X3" s="96" t="s">
        <v>103</v>
      </c>
      <c r="Y3" s="96" t="s">
        <v>104</v>
      </c>
      <c r="Z3" s="1"/>
    </row>
    <row r="4" ht="45.0" customHeight="1">
      <c r="A4" s="1"/>
      <c r="B4" s="15"/>
      <c r="C4" s="15"/>
      <c r="D4" s="97" t="s">
        <v>21</v>
      </c>
      <c r="E4" s="97" t="s">
        <v>22</v>
      </c>
      <c r="F4" s="97" t="s">
        <v>23</v>
      </c>
      <c r="G4" s="15"/>
      <c r="H4" s="15"/>
      <c r="I4" s="15"/>
      <c r="J4" s="15"/>
      <c r="K4" s="15"/>
      <c r="L4" s="98">
        <v>1.0</v>
      </c>
      <c r="M4" s="98">
        <v>2.0</v>
      </c>
      <c r="N4" s="98">
        <v>3.0</v>
      </c>
      <c r="O4" s="98">
        <v>4.0</v>
      </c>
      <c r="P4" s="98">
        <v>5.0</v>
      </c>
      <c r="Q4" s="98">
        <v>6.0</v>
      </c>
      <c r="R4" s="98">
        <v>7.0</v>
      </c>
      <c r="S4" s="98">
        <v>8.0</v>
      </c>
      <c r="T4" s="98">
        <v>9.0</v>
      </c>
      <c r="U4" s="94" t="s">
        <v>101</v>
      </c>
      <c r="V4" s="99" t="s">
        <v>105</v>
      </c>
      <c r="W4" s="99" t="s">
        <v>106</v>
      </c>
      <c r="X4" s="15"/>
      <c r="Y4" s="15"/>
      <c r="Z4" s="1"/>
    </row>
    <row r="5" ht="49.5" customHeight="1">
      <c r="A5" s="1"/>
      <c r="B5" s="100">
        <v>1.0</v>
      </c>
      <c r="C5" s="101" t="s">
        <v>24</v>
      </c>
      <c r="D5" s="100">
        <v>58.0</v>
      </c>
      <c r="E5" s="100">
        <v>70.0</v>
      </c>
      <c r="F5" s="100">
        <v>4.25</v>
      </c>
      <c r="G5" s="100">
        <f>+(D5*E5)/(F5*(D5+E5))</f>
        <v>7.463235294</v>
      </c>
      <c r="H5" s="100">
        <v>4.0</v>
      </c>
      <c r="I5" s="100">
        <v>2.0</v>
      </c>
      <c r="J5" s="100">
        <f>+H5+I5</f>
        <v>6</v>
      </c>
      <c r="K5" s="100">
        <f>POWER(J5,2)</f>
        <v>36</v>
      </c>
      <c r="L5" s="102"/>
      <c r="M5" s="102"/>
      <c r="N5" s="102"/>
      <c r="O5" s="102"/>
      <c r="P5" s="102"/>
      <c r="Q5" s="102"/>
      <c r="R5" s="102"/>
      <c r="S5" s="102"/>
      <c r="T5" s="102"/>
      <c r="U5" s="103"/>
      <c r="V5" s="104"/>
      <c r="W5" s="104"/>
      <c r="X5" s="104"/>
      <c r="Y5" s="104"/>
      <c r="Z5" s="1"/>
    </row>
    <row r="6" ht="49.5" customHeight="1">
      <c r="A6" s="1"/>
      <c r="B6" s="28"/>
      <c r="C6" s="28"/>
      <c r="D6" s="28"/>
      <c r="E6" s="28"/>
      <c r="F6" s="28"/>
      <c r="G6" s="28"/>
      <c r="H6" s="28"/>
      <c r="I6" s="28"/>
      <c r="J6" s="28"/>
      <c r="K6" s="28"/>
      <c r="L6" s="102"/>
      <c r="M6" s="102"/>
      <c r="N6" s="102"/>
      <c r="O6" s="102"/>
      <c r="P6" s="102"/>
      <c r="Q6" s="102"/>
      <c r="R6" s="102"/>
      <c r="S6" s="102"/>
      <c r="T6" s="102"/>
      <c r="U6" s="103"/>
      <c r="V6" s="104"/>
      <c r="W6" s="104"/>
      <c r="X6" s="104"/>
      <c r="Y6" s="104"/>
      <c r="Z6" s="1"/>
    </row>
    <row r="7" ht="49.5" customHeight="1">
      <c r="A7" s="1"/>
      <c r="B7" s="28"/>
      <c r="C7" s="28"/>
      <c r="D7" s="28"/>
      <c r="E7" s="28"/>
      <c r="F7" s="28"/>
      <c r="G7" s="28"/>
      <c r="H7" s="28"/>
      <c r="I7" s="28"/>
      <c r="J7" s="28"/>
      <c r="K7" s="28"/>
      <c r="L7" s="102"/>
      <c r="M7" s="102"/>
      <c r="N7" s="102"/>
      <c r="O7" s="102"/>
      <c r="P7" s="102"/>
      <c r="Q7" s="102"/>
      <c r="R7" s="102"/>
      <c r="S7" s="102"/>
      <c r="T7" s="102"/>
      <c r="U7" s="103"/>
      <c r="V7" s="104"/>
      <c r="W7" s="104"/>
      <c r="X7" s="104"/>
      <c r="Y7" s="104"/>
      <c r="Z7" s="1"/>
    </row>
    <row r="8" ht="49.5" customHeight="1">
      <c r="A8" s="1"/>
      <c r="B8" s="15"/>
      <c r="C8" s="15"/>
      <c r="D8" s="15"/>
      <c r="E8" s="15"/>
      <c r="F8" s="15"/>
      <c r="G8" s="15"/>
      <c r="H8" s="15"/>
      <c r="I8" s="15"/>
      <c r="J8" s="15"/>
      <c r="K8" s="15"/>
      <c r="L8" s="102"/>
      <c r="M8" s="102"/>
      <c r="N8" s="102"/>
      <c r="O8" s="102"/>
      <c r="P8" s="102"/>
      <c r="Q8" s="102"/>
      <c r="R8" s="102"/>
      <c r="S8" s="102"/>
      <c r="T8" s="102"/>
      <c r="U8" s="103"/>
      <c r="V8" s="104"/>
      <c r="W8" s="104"/>
      <c r="X8" s="104"/>
      <c r="Y8" s="104"/>
      <c r="Z8" s="1"/>
    </row>
    <row r="9" ht="49.5" customHeight="1">
      <c r="A9" s="1"/>
      <c r="B9" s="105">
        <v>2.0</v>
      </c>
      <c r="C9" s="106" t="s">
        <v>25</v>
      </c>
      <c r="D9" s="105">
        <v>5.05</v>
      </c>
      <c r="E9" s="105">
        <v>38.25</v>
      </c>
      <c r="F9" s="105">
        <v>4.25</v>
      </c>
      <c r="G9" s="107">
        <f t="shared" ref="G9:G10" si="1">+(D9*E9)/(F9*(D9+E9))</f>
        <v>1.04965358</v>
      </c>
      <c r="H9" s="105">
        <v>1.0</v>
      </c>
      <c r="I9" s="105">
        <v>2.0</v>
      </c>
      <c r="J9" s="105">
        <f t="shared" ref="J9:J10" si="2">+H9+I9</f>
        <v>3</v>
      </c>
      <c r="K9" s="105">
        <f t="shared" ref="K9:K10" si="3">POWER(J9,2)</f>
        <v>9</v>
      </c>
      <c r="L9" s="102"/>
      <c r="M9" s="102"/>
      <c r="N9" s="102"/>
      <c r="O9" s="102"/>
      <c r="P9" s="102"/>
      <c r="Q9" s="102"/>
      <c r="R9" s="102"/>
      <c r="S9" s="102"/>
      <c r="T9" s="102"/>
      <c r="U9" s="103"/>
      <c r="V9" s="104"/>
      <c r="W9" s="104"/>
      <c r="X9" s="104"/>
      <c r="Y9" s="104"/>
      <c r="Z9" s="1"/>
    </row>
    <row r="10" ht="49.5" customHeight="1">
      <c r="A10" s="1"/>
      <c r="B10" s="105">
        <v>3.0</v>
      </c>
      <c r="C10" s="106" t="s">
        <v>26</v>
      </c>
      <c r="D10" s="105">
        <v>7.22</v>
      </c>
      <c r="E10" s="105">
        <v>2.39</v>
      </c>
      <c r="F10" s="105">
        <v>4.25</v>
      </c>
      <c r="G10" s="107">
        <f t="shared" si="1"/>
        <v>0.4224961743</v>
      </c>
      <c r="H10" s="105">
        <v>1.0</v>
      </c>
      <c r="I10" s="105">
        <v>2.0</v>
      </c>
      <c r="J10" s="105">
        <f t="shared" si="2"/>
        <v>3</v>
      </c>
      <c r="K10" s="105">
        <f t="shared" si="3"/>
        <v>9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3"/>
      <c r="V10" s="104"/>
      <c r="W10" s="104"/>
      <c r="X10" s="104"/>
      <c r="Y10" s="104"/>
      <c r="Z10" s="1"/>
    </row>
    <row r="11" ht="49.5" customHeight="1">
      <c r="A11" s="1"/>
      <c r="B11" s="105">
        <v>4.0</v>
      </c>
      <c r="C11" s="106" t="s">
        <v>27</v>
      </c>
      <c r="D11" s="105" t="s">
        <v>28</v>
      </c>
      <c r="E11" s="105" t="s">
        <v>28</v>
      </c>
      <c r="F11" s="105" t="s">
        <v>28</v>
      </c>
      <c r="G11" s="105" t="s">
        <v>28</v>
      </c>
      <c r="H11" s="105" t="s">
        <v>28</v>
      </c>
      <c r="I11" s="105" t="s">
        <v>28</v>
      </c>
      <c r="J11" s="105" t="s">
        <v>28</v>
      </c>
      <c r="K11" s="105" t="s">
        <v>28</v>
      </c>
      <c r="L11" s="102"/>
      <c r="M11" s="102"/>
      <c r="N11" s="102"/>
      <c r="O11" s="105"/>
      <c r="P11" s="105"/>
      <c r="Q11" s="105"/>
      <c r="R11" s="105"/>
      <c r="S11" s="105"/>
      <c r="T11" s="105"/>
      <c r="U11" s="103"/>
      <c r="V11" s="104"/>
      <c r="W11" s="104"/>
      <c r="X11" s="104"/>
      <c r="Y11" s="104"/>
      <c r="Z11" s="1"/>
    </row>
    <row r="12" ht="49.5" customHeight="1">
      <c r="A12" s="1"/>
      <c r="B12" s="105">
        <v>5.0</v>
      </c>
      <c r="C12" s="106" t="s">
        <v>29</v>
      </c>
      <c r="D12" s="105">
        <v>3.78</v>
      </c>
      <c r="E12" s="105">
        <v>3.66</v>
      </c>
      <c r="F12" s="105">
        <v>2.88</v>
      </c>
      <c r="G12" s="107">
        <f t="shared" ref="G12:G13" si="4">+(D12*E12)/(F12*(D12+E12))</f>
        <v>0.6456653226</v>
      </c>
      <c r="H12" s="105">
        <v>1.0</v>
      </c>
      <c r="I12" s="105">
        <v>2.0</v>
      </c>
      <c r="J12" s="105">
        <f t="shared" ref="J12:J13" si="5">+H12+I12</f>
        <v>3</v>
      </c>
      <c r="K12" s="105">
        <f t="shared" ref="K12:K13" si="6">POWER(J12,2)</f>
        <v>9</v>
      </c>
      <c r="L12" s="102"/>
      <c r="M12" s="102"/>
      <c r="N12" s="102"/>
      <c r="O12" s="102"/>
      <c r="P12" s="102"/>
      <c r="Q12" s="102"/>
      <c r="R12" s="102"/>
      <c r="S12" s="102"/>
      <c r="T12" s="102"/>
      <c r="U12" s="103"/>
      <c r="V12" s="104"/>
      <c r="W12" s="104"/>
      <c r="X12" s="104"/>
      <c r="Y12" s="104"/>
      <c r="Z12" s="1"/>
    </row>
    <row r="13" ht="49.5" customHeight="1">
      <c r="A13" s="1"/>
      <c r="B13" s="105">
        <v>6.0</v>
      </c>
      <c r="C13" s="106" t="s">
        <v>30</v>
      </c>
      <c r="D13" s="105">
        <v>3.61</v>
      </c>
      <c r="E13" s="105">
        <v>6.15</v>
      </c>
      <c r="F13" s="105">
        <v>2.88</v>
      </c>
      <c r="G13" s="107">
        <f t="shared" si="4"/>
        <v>0.7898416154</v>
      </c>
      <c r="H13" s="105">
        <v>1.0</v>
      </c>
      <c r="I13" s="105">
        <v>2.0</v>
      </c>
      <c r="J13" s="105">
        <f t="shared" si="5"/>
        <v>3</v>
      </c>
      <c r="K13" s="105">
        <f t="shared" si="6"/>
        <v>9</v>
      </c>
      <c r="L13" s="102"/>
      <c r="M13" s="102"/>
      <c r="N13" s="102"/>
      <c r="O13" s="102"/>
      <c r="P13" s="102"/>
      <c r="Q13" s="102"/>
      <c r="R13" s="102"/>
      <c r="S13" s="102"/>
      <c r="T13" s="102"/>
      <c r="U13" s="103"/>
      <c r="V13" s="104"/>
      <c r="W13" s="104"/>
      <c r="X13" s="104"/>
      <c r="Y13" s="104"/>
      <c r="Z13" s="1"/>
    </row>
    <row r="14" ht="49.5" customHeight="1">
      <c r="A14" s="1"/>
      <c r="B14" s="105">
        <v>7.0</v>
      </c>
      <c r="C14" s="106" t="s">
        <v>31</v>
      </c>
      <c r="D14" s="105" t="s">
        <v>28</v>
      </c>
      <c r="E14" s="105" t="s">
        <v>28</v>
      </c>
      <c r="F14" s="105" t="s">
        <v>28</v>
      </c>
      <c r="G14" s="107" t="s">
        <v>28</v>
      </c>
      <c r="H14" s="105" t="s">
        <v>28</v>
      </c>
      <c r="I14" s="105" t="s">
        <v>28</v>
      </c>
      <c r="J14" s="105" t="s">
        <v>28</v>
      </c>
      <c r="K14" s="105" t="s">
        <v>28</v>
      </c>
      <c r="L14" s="102"/>
      <c r="M14" s="102"/>
      <c r="N14" s="105"/>
      <c r="O14" s="105"/>
      <c r="P14" s="105"/>
      <c r="Q14" s="105"/>
      <c r="R14" s="105"/>
      <c r="S14" s="105"/>
      <c r="T14" s="105"/>
      <c r="U14" s="103"/>
      <c r="V14" s="104"/>
      <c r="W14" s="104"/>
      <c r="X14" s="104"/>
      <c r="Y14" s="104"/>
      <c r="Z14" s="1"/>
    </row>
    <row r="15" ht="49.5" customHeight="1">
      <c r="A15" s="1"/>
      <c r="B15" s="105">
        <v>8.0</v>
      </c>
      <c r="C15" s="106" t="s">
        <v>32</v>
      </c>
      <c r="D15" s="105">
        <v>15.51</v>
      </c>
      <c r="E15" s="105">
        <v>5.08</v>
      </c>
      <c r="F15" s="105">
        <v>4.53</v>
      </c>
      <c r="G15" s="107">
        <f t="shared" ref="G15:G16" si="7">+(D15*E15)/(F15*(D15+E15))</f>
        <v>0.8447359195</v>
      </c>
      <c r="H15" s="105">
        <v>1.0</v>
      </c>
      <c r="I15" s="105">
        <v>2.0</v>
      </c>
      <c r="J15" s="105">
        <f t="shared" ref="J15:J16" si="8">+H15+I15</f>
        <v>3</v>
      </c>
      <c r="K15" s="105">
        <f t="shared" ref="K15:K16" si="9">POWER(J15,2)</f>
        <v>9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3"/>
      <c r="V15" s="104"/>
      <c r="W15" s="104"/>
      <c r="X15" s="104"/>
      <c r="Y15" s="104"/>
      <c r="Z15" s="1"/>
    </row>
    <row r="16" ht="49.5" customHeight="1">
      <c r="A16" s="1"/>
      <c r="B16" s="100">
        <v>9.0</v>
      </c>
      <c r="C16" s="100" t="s">
        <v>33</v>
      </c>
      <c r="D16" s="100">
        <v>10.08</v>
      </c>
      <c r="E16" s="100">
        <v>14.52</v>
      </c>
      <c r="F16" s="100">
        <v>2.94</v>
      </c>
      <c r="G16" s="100">
        <f t="shared" si="7"/>
        <v>2.02369338</v>
      </c>
      <c r="H16" s="100">
        <v>2.0</v>
      </c>
      <c r="I16" s="100">
        <v>2.0</v>
      </c>
      <c r="J16" s="100">
        <f t="shared" si="8"/>
        <v>4</v>
      </c>
      <c r="K16" s="100">
        <f t="shared" si="9"/>
        <v>16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3"/>
      <c r="V16" s="104"/>
      <c r="W16" s="104"/>
      <c r="X16" s="104"/>
      <c r="Y16" s="104"/>
      <c r="Z16" s="1"/>
    </row>
    <row r="17" ht="49.5" customHeight="1">
      <c r="A17" s="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02"/>
      <c r="M17" s="102"/>
      <c r="N17" s="102"/>
      <c r="O17" s="102"/>
      <c r="P17" s="102"/>
      <c r="Q17" s="102"/>
      <c r="R17" s="102"/>
      <c r="S17" s="105"/>
      <c r="T17" s="105"/>
      <c r="U17" s="103"/>
      <c r="V17" s="104"/>
      <c r="W17" s="104"/>
      <c r="X17" s="104"/>
      <c r="Y17" s="104"/>
      <c r="Z17" s="1"/>
    </row>
    <row r="18" ht="49.5" customHeight="1">
      <c r="A18" s="1"/>
      <c r="B18" s="105">
        <v>10.0</v>
      </c>
      <c r="C18" s="106" t="s">
        <v>34</v>
      </c>
      <c r="D18" s="105">
        <v>3.83</v>
      </c>
      <c r="E18" s="105">
        <v>6.2</v>
      </c>
      <c r="F18" s="105">
        <v>2.94</v>
      </c>
      <c r="G18" s="107">
        <f t="shared" ref="G18:G30" si="10">+(D18*E18)/(F18*(D18+E18))</f>
        <v>0.805271261</v>
      </c>
      <c r="H18" s="105">
        <v>1.0</v>
      </c>
      <c r="I18" s="105">
        <v>2.0</v>
      </c>
      <c r="J18" s="105">
        <f t="shared" ref="J18:J30" si="11">+H18+I18</f>
        <v>3</v>
      </c>
      <c r="K18" s="105">
        <f t="shared" ref="K18:K30" si="12">POWER(J18,2)</f>
        <v>9</v>
      </c>
      <c r="L18" s="102"/>
      <c r="M18" s="102"/>
      <c r="N18" s="102"/>
      <c r="O18" s="105"/>
      <c r="P18" s="105"/>
      <c r="Q18" s="105"/>
      <c r="R18" s="105"/>
      <c r="S18" s="105"/>
      <c r="T18" s="105"/>
      <c r="U18" s="103"/>
      <c r="V18" s="104"/>
      <c r="W18" s="104"/>
      <c r="X18" s="104"/>
      <c r="Y18" s="104"/>
      <c r="Z18" s="1"/>
    </row>
    <row r="19" ht="49.5" customHeight="1">
      <c r="A19" s="1"/>
      <c r="B19" s="105">
        <v>11.0</v>
      </c>
      <c r="C19" s="106" t="s">
        <v>35</v>
      </c>
      <c r="D19" s="105">
        <v>3.83</v>
      </c>
      <c r="E19" s="105">
        <v>4.03</v>
      </c>
      <c r="F19" s="105">
        <v>2.94</v>
      </c>
      <c r="G19" s="107">
        <f t="shared" si="10"/>
        <v>0.6679346039</v>
      </c>
      <c r="H19" s="105">
        <v>1.0</v>
      </c>
      <c r="I19" s="105">
        <v>2.0</v>
      </c>
      <c r="J19" s="105">
        <f t="shared" si="11"/>
        <v>3</v>
      </c>
      <c r="K19" s="105">
        <f t="shared" si="12"/>
        <v>9</v>
      </c>
      <c r="L19" s="102"/>
      <c r="M19" s="102"/>
      <c r="N19" s="102"/>
      <c r="O19" s="102"/>
      <c r="P19" s="102"/>
      <c r="Q19" s="102"/>
      <c r="R19" s="102"/>
      <c r="S19" s="102"/>
      <c r="T19" s="102"/>
      <c r="U19" s="103"/>
      <c r="V19" s="104"/>
      <c r="W19" s="104"/>
      <c r="X19" s="104"/>
      <c r="Y19" s="104"/>
      <c r="Z19" s="1"/>
    </row>
    <row r="20" ht="49.5" customHeight="1">
      <c r="A20" s="1"/>
      <c r="B20" s="105">
        <v>12.0</v>
      </c>
      <c r="C20" s="106" t="s">
        <v>36</v>
      </c>
      <c r="D20" s="105">
        <v>2.97</v>
      </c>
      <c r="E20" s="105">
        <v>3.89</v>
      </c>
      <c r="F20" s="105">
        <v>2.94</v>
      </c>
      <c r="G20" s="107">
        <f t="shared" si="10"/>
        <v>0.5728416731</v>
      </c>
      <c r="H20" s="105">
        <v>1.0</v>
      </c>
      <c r="I20" s="105">
        <v>2.0</v>
      </c>
      <c r="J20" s="105">
        <f t="shared" si="11"/>
        <v>3</v>
      </c>
      <c r="K20" s="105">
        <f t="shared" si="12"/>
        <v>9</v>
      </c>
      <c r="L20" s="102"/>
      <c r="M20" s="102"/>
      <c r="N20" s="102"/>
      <c r="O20" s="102"/>
      <c r="P20" s="102"/>
      <c r="Q20" s="102"/>
      <c r="R20" s="102"/>
      <c r="S20" s="102"/>
      <c r="T20" s="102"/>
      <c r="U20" s="103"/>
      <c r="V20" s="104"/>
      <c r="W20" s="104"/>
      <c r="X20" s="104"/>
      <c r="Y20" s="104"/>
      <c r="Z20" s="1"/>
    </row>
    <row r="21" ht="49.5" customHeight="1">
      <c r="A21" s="1"/>
      <c r="B21" s="105">
        <v>13.0</v>
      </c>
      <c r="C21" s="106" t="s">
        <v>37</v>
      </c>
      <c r="D21" s="105">
        <v>2.56</v>
      </c>
      <c r="E21" s="105">
        <v>3.05</v>
      </c>
      <c r="F21" s="105">
        <v>2.94</v>
      </c>
      <c r="G21" s="107">
        <f t="shared" si="10"/>
        <v>0.4734014818</v>
      </c>
      <c r="H21" s="105">
        <v>1.0</v>
      </c>
      <c r="I21" s="105">
        <v>2.0</v>
      </c>
      <c r="J21" s="105">
        <f t="shared" si="11"/>
        <v>3</v>
      </c>
      <c r="K21" s="105">
        <f t="shared" si="12"/>
        <v>9</v>
      </c>
      <c r="L21" s="102"/>
      <c r="M21" s="102"/>
      <c r="N21" s="102"/>
      <c r="O21" s="102"/>
      <c r="P21" s="102"/>
      <c r="Q21" s="102"/>
      <c r="R21" s="102"/>
      <c r="S21" s="102"/>
      <c r="T21" s="102"/>
      <c r="U21" s="103"/>
      <c r="V21" s="104"/>
      <c r="W21" s="104"/>
      <c r="X21" s="104"/>
      <c r="Y21" s="104"/>
      <c r="Z21" s="1"/>
    </row>
    <row r="22" ht="49.5" customHeight="1">
      <c r="A22" s="1"/>
      <c r="B22" s="105">
        <v>14.0</v>
      </c>
      <c r="C22" s="106" t="s">
        <v>38</v>
      </c>
      <c r="D22" s="105">
        <v>4.23</v>
      </c>
      <c r="E22" s="105">
        <v>3.71</v>
      </c>
      <c r="F22" s="105">
        <v>2.94</v>
      </c>
      <c r="G22" s="107">
        <f t="shared" si="10"/>
        <v>0.6722741994</v>
      </c>
      <c r="H22" s="105">
        <v>1.0</v>
      </c>
      <c r="I22" s="105">
        <v>2.0</v>
      </c>
      <c r="J22" s="105">
        <f t="shared" si="11"/>
        <v>3</v>
      </c>
      <c r="K22" s="105">
        <f t="shared" si="12"/>
        <v>9</v>
      </c>
      <c r="L22" s="102"/>
      <c r="M22" s="102"/>
      <c r="N22" s="102"/>
      <c r="O22" s="102"/>
      <c r="P22" s="102"/>
      <c r="Q22" s="102"/>
      <c r="R22" s="102"/>
      <c r="S22" s="102"/>
      <c r="T22" s="102"/>
      <c r="U22" s="103"/>
      <c r="V22" s="104"/>
      <c r="W22" s="104"/>
      <c r="X22" s="104"/>
      <c r="Y22" s="104"/>
      <c r="Z22" s="1"/>
    </row>
    <row r="23" ht="49.5" customHeight="1">
      <c r="A23" s="1"/>
      <c r="B23" s="105">
        <v>15.0</v>
      </c>
      <c r="C23" s="106" t="s">
        <v>39</v>
      </c>
      <c r="D23" s="105">
        <v>5.75</v>
      </c>
      <c r="E23" s="105">
        <v>2.79</v>
      </c>
      <c r="F23" s="105">
        <v>2.94</v>
      </c>
      <c r="G23" s="107">
        <f t="shared" si="10"/>
        <v>0.6389499594</v>
      </c>
      <c r="H23" s="105">
        <v>1.0</v>
      </c>
      <c r="I23" s="105">
        <v>2.0</v>
      </c>
      <c r="J23" s="105">
        <f t="shared" si="11"/>
        <v>3</v>
      </c>
      <c r="K23" s="105">
        <f t="shared" si="12"/>
        <v>9</v>
      </c>
      <c r="L23" s="102"/>
      <c r="M23" s="102"/>
      <c r="N23" s="102"/>
      <c r="O23" s="102"/>
      <c r="P23" s="102"/>
      <c r="Q23" s="102"/>
      <c r="R23" s="102"/>
      <c r="S23" s="102"/>
      <c r="T23" s="102"/>
      <c r="U23" s="103"/>
      <c r="V23" s="104"/>
      <c r="W23" s="104"/>
      <c r="X23" s="104"/>
      <c r="Y23" s="104"/>
      <c r="Z23" s="1"/>
    </row>
    <row r="24" ht="49.5" customHeight="1">
      <c r="A24" s="1"/>
      <c r="B24" s="105">
        <v>16.0</v>
      </c>
      <c r="C24" s="106" t="s">
        <v>40</v>
      </c>
      <c r="D24" s="105">
        <v>3.97</v>
      </c>
      <c r="E24" s="105">
        <v>3.66</v>
      </c>
      <c r="F24" s="105">
        <v>2.94</v>
      </c>
      <c r="G24" s="107">
        <f t="shared" si="10"/>
        <v>0.6477385187</v>
      </c>
      <c r="H24" s="105">
        <v>1.0</v>
      </c>
      <c r="I24" s="105">
        <v>2.0</v>
      </c>
      <c r="J24" s="105">
        <f t="shared" si="11"/>
        <v>3</v>
      </c>
      <c r="K24" s="105">
        <f t="shared" si="12"/>
        <v>9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3"/>
      <c r="V24" s="104"/>
      <c r="W24" s="104"/>
      <c r="X24" s="104"/>
      <c r="Y24" s="104"/>
      <c r="Z24" s="1"/>
    </row>
    <row r="25" ht="49.5" customHeight="1">
      <c r="A25" s="1"/>
      <c r="B25" s="105">
        <v>17.0</v>
      </c>
      <c r="C25" s="106" t="s">
        <v>41</v>
      </c>
      <c r="D25" s="105">
        <v>7.11</v>
      </c>
      <c r="E25" s="105">
        <v>3.53</v>
      </c>
      <c r="F25" s="105">
        <v>2.94</v>
      </c>
      <c r="G25" s="107">
        <f t="shared" si="10"/>
        <v>0.8023342796</v>
      </c>
      <c r="H25" s="105">
        <v>1.0</v>
      </c>
      <c r="I25" s="105">
        <v>2.0</v>
      </c>
      <c r="J25" s="105">
        <f t="shared" si="11"/>
        <v>3</v>
      </c>
      <c r="K25" s="105">
        <f t="shared" si="12"/>
        <v>9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3"/>
      <c r="V25" s="104"/>
      <c r="W25" s="104"/>
      <c r="X25" s="104"/>
      <c r="Y25" s="104"/>
      <c r="Z25" s="1"/>
    </row>
    <row r="26" ht="49.5" customHeight="1">
      <c r="A26" s="1"/>
      <c r="B26" s="105">
        <v>18.0</v>
      </c>
      <c r="C26" s="106" t="s">
        <v>42</v>
      </c>
      <c r="D26" s="105">
        <v>4.12</v>
      </c>
      <c r="E26" s="105">
        <v>3.32</v>
      </c>
      <c r="F26" s="105">
        <v>2.94</v>
      </c>
      <c r="G26" s="107">
        <f t="shared" si="10"/>
        <v>0.6253383074</v>
      </c>
      <c r="H26" s="105">
        <v>1.0</v>
      </c>
      <c r="I26" s="105">
        <v>2.0</v>
      </c>
      <c r="J26" s="105">
        <f t="shared" si="11"/>
        <v>3</v>
      </c>
      <c r="K26" s="105">
        <f t="shared" si="12"/>
        <v>9</v>
      </c>
      <c r="L26" s="102"/>
      <c r="M26" s="102"/>
      <c r="N26" s="102"/>
      <c r="O26" s="102"/>
      <c r="P26" s="102"/>
      <c r="Q26" s="102"/>
      <c r="R26" s="102"/>
      <c r="S26" s="102"/>
      <c r="T26" s="102"/>
      <c r="U26" s="103"/>
      <c r="V26" s="104"/>
      <c r="W26" s="104"/>
      <c r="X26" s="104"/>
      <c r="Y26" s="104"/>
      <c r="Z26" s="1"/>
    </row>
    <row r="27" ht="49.5" customHeight="1">
      <c r="A27" s="1"/>
      <c r="B27" s="105">
        <v>19.0</v>
      </c>
      <c r="C27" s="106" t="s">
        <v>43</v>
      </c>
      <c r="D27" s="105">
        <v>3.1</v>
      </c>
      <c r="E27" s="105">
        <v>9.06</v>
      </c>
      <c r="F27" s="105">
        <v>2.94</v>
      </c>
      <c r="G27" s="107">
        <f t="shared" si="10"/>
        <v>0.7856135875</v>
      </c>
      <c r="H27" s="105">
        <v>1.0</v>
      </c>
      <c r="I27" s="105">
        <v>2.0</v>
      </c>
      <c r="J27" s="105">
        <f t="shared" si="11"/>
        <v>3</v>
      </c>
      <c r="K27" s="105">
        <f t="shared" si="12"/>
        <v>9</v>
      </c>
      <c r="L27" s="102"/>
      <c r="M27" s="102"/>
      <c r="N27" s="102"/>
      <c r="O27" s="102"/>
      <c r="P27" s="102"/>
      <c r="Q27" s="102"/>
      <c r="R27" s="102"/>
      <c r="S27" s="102"/>
      <c r="T27" s="102"/>
      <c r="U27" s="103"/>
      <c r="V27" s="104"/>
      <c r="W27" s="104"/>
      <c r="X27" s="104"/>
      <c r="Y27" s="104"/>
      <c r="Z27" s="1"/>
    </row>
    <row r="28" ht="49.5" customHeight="1">
      <c r="A28" s="1"/>
      <c r="B28" s="105">
        <v>20.0</v>
      </c>
      <c r="C28" s="106" t="s">
        <v>44</v>
      </c>
      <c r="D28" s="105">
        <v>3.03</v>
      </c>
      <c r="E28" s="105">
        <v>20.87</v>
      </c>
      <c r="F28" s="105">
        <v>2.94</v>
      </c>
      <c r="G28" s="107">
        <f t="shared" si="10"/>
        <v>0.8999530356</v>
      </c>
      <c r="H28" s="105">
        <v>1.0</v>
      </c>
      <c r="I28" s="105">
        <v>2.0</v>
      </c>
      <c r="J28" s="105">
        <f t="shared" si="11"/>
        <v>3</v>
      </c>
      <c r="K28" s="105">
        <f t="shared" si="12"/>
        <v>9</v>
      </c>
      <c r="L28" s="102"/>
      <c r="M28" s="102"/>
      <c r="N28" s="102"/>
      <c r="O28" s="102"/>
      <c r="P28" s="102"/>
      <c r="Q28" s="102"/>
      <c r="R28" s="102"/>
      <c r="S28" s="102"/>
      <c r="T28" s="102"/>
      <c r="U28" s="103"/>
      <c r="V28" s="104"/>
      <c r="W28" s="104"/>
      <c r="X28" s="104"/>
      <c r="Y28" s="104"/>
      <c r="Z28" s="1"/>
    </row>
    <row r="29" ht="49.5" customHeight="1">
      <c r="A29" s="1"/>
      <c r="B29" s="105">
        <v>21.0</v>
      </c>
      <c r="C29" s="106" t="s">
        <v>45</v>
      </c>
      <c r="D29" s="105">
        <v>4.22</v>
      </c>
      <c r="E29" s="105">
        <v>5.55</v>
      </c>
      <c r="F29" s="105">
        <v>2.94</v>
      </c>
      <c r="G29" s="107">
        <f t="shared" si="10"/>
        <v>0.8153865436</v>
      </c>
      <c r="H29" s="105">
        <v>1.0</v>
      </c>
      <c r="I29" s="105">
        <v>2.0</v>
      </c>
      <c r="J29" s="105">
        <f t="shared" si="11"/>
        <v>3</v>
      </c>
      <c r="K29" s="105">
        <f t="shared" si="12"/>
        <v>9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3"/>
      <c r="V29" s="104"/>
      <c r="W29" s="104"/>
      <c r="X29" s="104"/>
      <c r="Y29" s="104"/>
      <c r="Z29" s="1"/>
    </row>
    <row r="30" ht="49.5" customHeight="1">
      <c r="A30" s="1"/>
      <c r="B30" s="105">
        <v>22.0</v>
      </c>
      <c r="C30" s="106" t="s">
        <v>46</v>
      </c>
      <c r="D30" s="105">
        <v>4.98</v>
      </c>
      <c r="E30" s="105">
        <v>8.2</v>
      </c>
      <c r="F30" s="105">
        <v>2.94</v>
      </c>
      <c r="G30" s="107">
        <f t="shared" si="10"/>
        <v>1.053854015</v>
      </c>
      <c r="H30" s="105">
        <v>1.0</v>
      </c>
      <c r="I30" s="105">
        <v>2.0</v>
      </c>
      <c r="J30" s="105">
        <f t="shared" si="11"/>
        <v>3</v>
      </c>
      <c r="K30" s="105">
        <f t="shared" si="12"/>
        <v>9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3"/>
      <c r="V30" s="104"/>
      <c r="W30" s="104"/>
      <c r="X30" s="104"/>
      <c r="Y30" s="104"/>
      <c r="Z30" s="1"/>
    </row>
    <row r="31" ht="49.5" customHeight="1">
      <c r="A31" s="1"/>
      <c r="B31" s="105">
        <v>23.0</v>
      </c>
      <c r="C31" s="106" t="s">
        <v>47</v>
      </c>
      <c r="D31" s="105" t="s">
        <v>28</v>
      </c>
      <c r="E31" s="105" t="s">
        <v>28</v>
      </c>
      <c r="F31" s="105" t="s">
        <v>28</v>
      </c>
      <c r="G31" s="107" t="s">
        <v>28</v>
      </c>
      <c r="H31" s="105" t="s">
        <v>28</v>
      </c>
      <c r="I31" s="105" t="s">
        <v>28</v>
      </c>
      <c r="J31" s="105" t="s">
        <v>28</v>
      </c>
      <c r="K31" s="105" t="s">
        <v>28</v>
      </c>
      <c r="L31" s="102"/>
      <c r="M31" s="102"/>
      <c r="N31" s="105"/>
      <c r="O31" s="105"/>
      <c r="P31" s="105"/>
      <c r="Q31" s="105"/>
      <c r="R31" s="105"/>
      <c r="S31" s="105"/>
      <c r="T31" s="105"/>
      <c r="U31" s="103"/>
      <c r="V31" s="104"/>
      <c r="W31" s="104"/>
      <c r="X31" s="104"/>
      <c r="Y31" s="104"/>
      <c r="Z31" s="1"/>
    </row>
    <row r="32" ht="49.5" customHeight="1">
      <c r="A32" s="1"/>
      <c r="B32" s="105">
        <v>24.0</v>
      </c>
      <c r="C32" s="106" t="s">
        <v>48</v>
      </c>
      <c r="D32" s="105" t="s">
        <v>28</v>
      </c>
      <c r="E32" s="105" t="s">
        <v>28</v>
      </c>
      <c r="F32" s="105" t="s">
        <v>28</v>
      </c>
      <c r="G32" s="105" t="s">
        <v>28</v>
      </c>
      <c r="H32" s="105" t="s">
        <v>28</v>
      </c>
      <c r="I32" s="105" t="s">
        <v>28</v>
      </c>
      <c r="J32" s="105" t="s">
        <v>28</v>
      </c>
      <c r="K32" s="105" t="s">
        <v>28</v>
      </c>
      <c r="L32" s="102"/>
      <c r="M32" s="102"/>
      <c r="N32" s="105"/>
      <c r="O32" s="105"/>
      <c r="P32" s="105"/>
      <c r="Q32" s="105"/>
      <c r="R32" s="105"/>
      <c r="S32" s="105"/>
      <c r="T32" s="105"/>
      <c r="U32" s="103"/>
      <c r="V32" s="104"/>
      <c r="W32" s="104"/>
      <c r="X32" s="104"/>
      <c r="Y32" s="104"/>
      <c r="Z32" s="1"/>
    </row>
    <row r="33" ht="49.5" customHeight="1">
      <c r="A33" s="1"/>
      <c r="B33" s="105">
        <v>25.0</v>
      </c>
      <c r="C33" s="106" t="s">
        <v>49</v>
      </c>
      <c r="D33" s="105" t="s">
        <v>28</v>
      </c>
      <c r="E33" s="105" t="s">
        <v>28</v>
      </c>
      <c r="F33" s="105" t="s">
        <v>28</v>
      </c>
      <c r="G33" s="105" t="s">
        <v>28</v>
      </c>
      <c r="H33" s="105" t="s">
        <v>28</v>
      </c>
      <c r="I33" s="105" t="s">
        <v>28</v>
      </c>
      <c r="J33" s="105" t="s">
        <v>28</v>
      </c>
      <c r="K33" s="105" t="s">
        <v>28</v>
      </c>
      <c r="L33" s="102"/>
      <c r="M33" s="102"/>
      <c r="N33" s="105"/>
      <c r="O33" s="105"/>
      <c r="P33" s="105"/>
      <c r="Q33" s="105"/>
      <c r="R33" s="105"/>
      <c r="S33" s="105"/>
      <c r="T33" s="105"/>
      <c r="U33" s="103"/>
      <c r="V33" s="104"/>
      <c r="W33" s="104"/>
      <c r="X33" s="104"/>
      <c r="Y33" s="104"/>
      <c r="Z33" s="1"/>
    </row>
    <row r="34" ht="49.5" customHeight="1">
      <c r="A34" s="1"/>
      <c r="B34" s="105">
        <v>26.0</v>
      </c>
      <c r="C34" s="108" t="s">
        <v>50</v>
      </c>
      <c r="D34" s="105" t="s">
        <v>28</v>
      </c>
      <c r="E34" s="105" t="s">
        <v>28</v>
      </c>
      <c r="F34" s="105" t="s">
        <v>28</v>
      </c>
      <c r="G34" s="105" t="s">
        <v>28</v>
      </c>
      <c r="H34" s="105" t="s">
        <v>28</v>
      </c>
      <c r="I34" s="105" t="s">
        <v>28</v>
      </c>
      <c r="J34" s="105" t="s">
        <v>28</v>
      </c>
      <c r="K34" s="105" t="s">
        <v>28</v>
      </c>
      <c r="L34" s="102"/>
      <c r="M34" s="102"/>
      <c r="N34" s="105"/>
      <c r="O34" s="105"/>
      <c r="P34" s="105"/>
      <c r="Q34" s="105"/>
      <c r="R34" s="105"/>
      <c r="S34" s="105"/>
      <c r="T34" s="105"/>
      <c r="U34" s="103"/>
      <c r="V34" s="104"/>
      <c r="W34" s="104"/>
      <c r="X34" s="104"/>
      <c r="Y34" s="104"/>
      <c r="Z34" s="1"/>
    </row>
    <row r="35" ht="49.5" customHeight="1">
      <c r="A35" s="1"/>
      <c r="B35" s="105">
        <v>27.0</v>
      </c>
      <c r="C35" s="108" t="s">
        <v>51</v>
      </c>
      <c r="D35" s="105" t="s">
        <v>28</v>
      </c>
      <c r="E35" s="105" t="s">
        <v>28</v>
      </c>
      <c r="F35" s="105" t="s">
        <v>28</v>
      </c>
      <c r="G35" s="105" t="s">
        <v>28</v>
      </c>
      <c r="H35" s="105" t="s">
        <v>28</v>
      </c>
      <c r="I35" s="105" t="s">
        <v>28</v>
      </c>
      <c r="J35" s="105" t="s">
        <v>28</v>
      </c>
      <c r="K35" s="105" t="s">
        <v>28</v>
      </c>
      <c r="L35" s="102"/>
      <c r="M35" s="102"/>
      <c r="N35" s="105"/>
      <c r="O35" s="105"/>
      <c r="P35" s="105"/>
      <c r="Q35" s="105"/>
      <c r="R35" s="105"/>
      <c r="S35" s="105"/>
      <c r="T35" s="105"/>
      <c r="U35" s="103"/>
      <c r="V35" s="104"/>
      <c r="W35" s="104"/>
      <c r="X35" s="104"/>
      <c r="Y35" s="104"/>
      <c r="Z35" s="1"/>
    </row>
    <row r="36" ht="49.5" customHeight="1">
      <c r="A36" s="1"/>
      <c r="B36" s="105">
        <v>28.0</v>
      </c>
      <c r="C36" s="106" t="s">
        <v>52</v>
      </c>
      <c r="D36" s="105" t="s">
        <v>28</v>
      </c>
      <c r="E36" s="105" t="s">
        <v>28</v>
      </c>
      <c r="F36" s="105" t="s">
        <v>28</v>
      </c>
      <c r="G36" s="105" t="s">
        <v>28</v>
      </c>
      <c r="H36" s="105" t="s">
        <v>28</v>
      </c>
      <c r="I36" s="105" t="s">
        <v>28</v>
      </c>
      <c r="J36" s="105" t="s">
        <v>28</v>
      </c>
      <c r="K36" s="105" t="s">
        <v>28</v>
      </c>
      <c r="L36" s="102"/>
      <c r="M36" s="102"/>
      <c r="N36" s="105"/>
      <c r="O36" s="105"/>
      <c r="P36" s="105"/>
      <c r="Q36" s="105"/>
      <c r="R36" s="105"/>
      <c r="S36" s="105"/>
      <c r="T36" s="105"/>
      <c r="U36" s="103"/>
      <c r="V36" s="104"/>
      <c r="W36" s="104"/>
      <c r="X36" s="104"/>
      <c r="Y36" s="104"/>
      <c r="Z36" s="1"/>
    </row>
    <row r="37" ht="49.5" customHeight="1">
      <c r="A37" s="1"/>
      <c r="B37" s="105">
        <v>29.0</v>
      </c>
      <c r="C37" s="106" t="s">
        <v>53</v>
      </c>
      <c r="D37" s="105">
        <v>2.6</v>
      </c>
      <c r="E37" s="105">
        <v>2.33</v>
      </c>
      <c r="F37" s="105">
        <v>2.7</v>
      </c>
      <c r="G37" s="107">
        <f t="shared" ref="G37:G43" si="13">+(D37*E37)/(F37*(D37+E37))</f>
        <v>0.4551123131</v>
      </c>
      <c r="H37" s="105">
        <v>1.0</v>
      </c>
      <c r="I37" s="105">
        <v>2.0</v>
      </c>
      <c r="J37" s="105">
        <f t="shared" ref="J37:J43" si="14">+H37+I37</f>
        <v>3</v>
      </c>
      <c r="K37" s="105">
        <f t="shared" ref="K37:K43" si="15">POWER(J37,2)</f>
        <v>9</v>
      </c>
      <c r="L37" s="102"/>
      <c r="M37" s="102"/>
      <c r="N37" s="102"/>
      <c r="O37" s="102"/>
      <c r="P37" s="102"/>
      <c r="Q37" s="102"/>
      <c r="R37" s="102"/>
      <c r="S37" s="102"/>
      <c r="T37" s="102"/>
      <c r="U37" s="103"/>
      <c r="V37" s="104"/>
      <c r="W37" s="104"/>
      <c r="X37" s="104"/>
      <c r="Y37" s="104"/>
      <c r="Z37" s="1"/>
    </row>
    <row r="38" ht="49.5" customHeight="1">
      <c r="A38" s="1"/>
      <c r="B38" s="105">
        <v>30.0</v>
      </c>
      <c r="C38" s="106" t="s">
        <v>54</v>
      </c>
      <c r="D38" s="105">
        <v>2.61</v>
      </c>
      <c r="E38" s="105">
        <v>4.71</v>
      </c>
      <c r="F38" s="105">
        <v>2.7</v>
      </c>
      <c r="G38" s="107">
        <f t="shared" si="13"/>
        <v>0.6219945355</v>
      </c>
      <c r="H38" s="105">
        <v>1.0</v>
      </c>
      <c r="I38" s="105">
        <v>2.0</v>
      </c>
      <c r="J38" s="105">
        <f t="shared" si="14"/>
        <v>3</v>
      </c>
      <c r="K38" s="105">
        <f t="shared" si="15"/>
        <v>9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03"/>
      <c r="V38" s="104"/>
      <c r="W38" s="104"/>
      <c r="X38" s="104"/>
      <c r="Y38" s="104"/>
      <c r="Z38" s="1"/>
    </row>
    <row r="39" ht="49.5" customHeight="1">
      <c r="A39" s="1"/>
      <c r="B39" s="105">
        <v>31.0</v>
      </c>
      <c r="C39" s="106" t="s">
        <v>55</v>
      </c>
      <c r="D39" s="105">
        <v>2.35</v>
      </c>
      <c r="E39" s="105">
        <v>2.8</v>
      </c>
      <c r="F39" s="105">
        <v>2.7</v>
      </c>
      <c r="G39" s="107">
        <f t="shared" si="13"/>
        <v>0.4732110752</v>
      </c>
      <c r="H39" s="105">
        <v>1.0</v>
      </c>
      <c r="I39" s="105">
        <v>2.0</v>
      </c>
      <c r="J39" s="105">
        <f t="shared" si="14"/>
        <v>3</v>
      </c>
      <c r="K39" s="105">
        <f t="shared" si="15"/>
        <v>9</v>
      </c>
      <c r="L39" s="102"/>
      <c r="M39" s="102"/>
      <c r="N39" s="102"/>
      <c r="O39" s="102"/>
      <c r="P39" s="102"/>
      <c r="Q39" s="102"/>
      <c r="R39" s="102"/>
      <c r="S39" s="102"/>
      <c r="T39" s="102"/>
      <c r="U39" s="103"/>
      <c r="V39" s="104"/>
      <c r="W39" s="104"/>
      <c r="X39" s="104"/>
      <c r="Y39" s="104"/>
      <c r="Z39" s="1"/>
    </row>
    <row r="40" ht="49.5" customHeight="1">
      <c r="A40" s="1"/>
      <c r="B40" s="105">
        <v>32.0</v>
      </c>
      <c r="C40" s="106" t="s">
        <v>56</v>
      </c>
      <c r="D40" s="105">
        <v>4.1</v>
      </c>
      <c r="E40" s="105">
        <v>7.16</v>
      </c>
      <c r="F40" s="105">
        <v>2.7</v>
      </c>
      <c r="G40" s="107">
        <f t="shared" si="13"/>
        <v>0.9655943688</v>
      </c>
      <c r="H40" s="105">
        <v>1.0</v>
      </c>
      <c r="I40" s="105">
        <v>2.0</v>
      </c>
      <c r="J40" s="105">
        <f t="shared" si="14"/>
        <v>3</v>
      </c>
      <c r="K40" s="105">
        <f t="shared" si="15"/>
        <v>9</v>
      </c>
      <c r="L40" s="102"/>
      <c r="M40" s="102"/>
      <c r="N40" s="102"/>
      <c r="O40" s="102"/>
      <c r="P40" s="102"/>
      <c r="Q40" s="102"/>
      <c r="R40" s="102"/>
      <c r="S40" s="102"/>
      <c r="T40" s="102"/>
      <c r="U40" s="103"/>
      <c r="V40" s="104"/>
      <c r="W40" s="104"/>
      <c r="X40" s="104"/>
      <c r="Y40" s="104"/>
      <c r="Z40" s="1"/>
    </row>
    <row r="41" ht="49.5" customHeight="1">
      <c r="A41" s="1"/>
      <c r="B41" s="105">
        <v>33.0</v>
      </c>
      <c r="C41" s="106" t="s">
        <v>57</v>
      </c>
      <c r="D41" s="109">
        <v>4.04</v>
      </c>
      <c r="E41" s="109">
        <v>3.05</v>
      </c>
      <c r="F41" s="109">
        <v>2.7</v>
      </c>
      <c r="G41" s="107">
        <f t="shared" si="13"/>
        <v>0.6436817636</v>
      </c>
      <c r="H41" s="105">
        <v>1.0</v>
      </c>
      <c r="I41" s="105">
        <v>2.0</v>
      </c>
      <c r="J41" s="105">
        <f t="shared" si="14"/>
        <v>3</v>
      </c>
      <c r="K41" s="105">
        <f t="shared" si="15"/>
        <v>9</v>
      </c>
      <c r="L41" s="102"/>
      <c r="M41" s="102"/>
      <c r="N41" s="102"/>
      <c r="O41" s="102"/>
      <c r="P41" s="102"/>
      <c r="Q41" s="102"/>
      <c r="R41" s="102"/>
      <c r="S41" s="102"/>
      <c r="T41" s="102"/>
      <c r="U41" s="103"/>
      <c r="V41" s="104"/>
      <c r="W41" s="104"/>
      <c r="X41" s="104"/>
      <c r="Y41" s="104"/>
      <c r="Z41" s="1"/>
    </row>
    <row r="42" ht="49.5" customHeight="1">
      <c r="A42" s="1"/>
      <c r="B42" s="105">
        <v>34.0</v>
      </c>
      <c r="C42" s="106" t="s">
        <v>58</v>
      </c>
      <c r="D42" s="105">
        <v>4.67</v>
      </c>
      <c r="E42" s="105">
        <v>4.53</v>
      </c>
      <c r="F42" s="105">
        <v>2.67</v>
      </c>
      <c r="G42" s="107">
        <f t="shared" si="13"/>
        <v>0.8612237421</v>
      </c>
      <c r="H42" s="105">
        <v>1.0</v>
      </c>
      <c r="I42" s="105">
        <v>2.0</v>
      </c>
      <c r="J42" s="105">
        <f t="shared" si="14"/>
        <v>3</v>
      </c>
      <c r="K42" s="105">
        <f t="shared" si="15"/>
        <v>9</v>
      </c>
      <c r="L42" s="102"/>
      <c r="M42" s="102"/>
      <c r="N42" s="102"/>
      <c r="O42" s="102"/>
      <c r="P42" s="102"/>
      <c r="Q42" s="102"/>
      <c r="R42" s="102"/>
      <c r="S42" s="102"/>
      <c r="T42" s="102"/>
      <c r="U42" s="103"/>
      <c r="V42" s="104"/>
      <c r="W42" s="104"/>
      <c r="X42" s="104"/>
      <c r="Y42" s="104"/>
      <c r="Z42" s="1"/>
    </row>
    <row r="43" ht="49.5" customHeight="1">
      <c r="A43" s="1"/>
      <c r="B43" s="105">
        <v>35.0</v>
      </c>
      <c r="C43" s="106" t="s">
        <v>59</v>
      </c>
      <c r="D43" s="105">
        <v>5.6</v>
      </c>
      <c r="E43" s="105">
        <v>4.18</v>
      </c>
      <c r="F43" s="105">
        <v>3.83</v>
      </c>
      <c r="G43" s="107">
        <f t="shared" si="13"/>
        <v>0.6249232461</v>
      </c>
      <c r="H43" s="105">
        <v>1.0</v>
      </c>
      <c r="I43" s="105">
        <v>2.0</v>
      </c>
      <c r="J43" s="105">
        <f t="shared" si="14"/>
        <v>3</v>
      </c>
      <c r="K43" s="105">
        <f t="shared" si="15"/>
        <v>9</v>
      </c>
      <c r="L43" s="102"/>
      <c r="M43" s="102"/>
      <c r="N43" s="102"/>
      <c r="O43" s="102"/>
      <c r="P43" s="102"/>
      <c r="Q43" s="102"/>
      <c r="R43" s="102"/>
      <c r="S43" s="102"/>
      <c r="T43" s="102"/>
      <c r="U43" s="103"/>
      <c r="V43" s="104"/>
      <c r="W43" s="104"/>
      <c r="X43" s="104"/>
      <c r="Y43" s="104"/>
      <c r="Z43" s="1"/>
    </row>
    <row r="44" ht="49.5" customHeight="1">
      <c r="A44" s="1"/>
      <c r="B44" s="105">
        <v>36.0</v>
      </c>
      <c r="C44" s="106" t="s">
        <v>60</v>
      </c>
      <c r="D44" s="105" t="s">
        <v>28</v>
      </c>
      <c r="E44" s="105" t="s">
        <v>28</v>
      </c>
      <c r="F44" s="105" t="s">
        <v>28</v>
      </c>
      <c r="G44" s="105" t="s">
        <v>28</v>
      </c>
      <c r="H44" s="105" t="s">
        <v>28</v>
      </c>
      <c r="I44" s="105" t="s">
        <v>28</v>
      </c>
      <c r="J44" s="105" t="s">
        <v>28</v>
      </c>
      <c r="K44" s="105" t="s">
        <v>28</v>
      </c>
      <c r="L44" s="102"/>
      <c r="M44" s="102"/>
      <c r="N44" s="102"/>
      <c r="O44" s="105"/>
      <c r="P44" s="105"/>
      <c r="Q44" s="105"/>
      <c r="R44" s="105"/>
      <c r="S44" s="105"/>
      <c r="T44" s="105"/>
      <c r="U44" s="103"/>
      <c r="V44" s="104"/>
      <c r="W44" s="104"/>
      <c r="X44" s="104"/>
      <c r="Y44" s="104"/>
      <c r="Z44" s="1"/>
    </row>
    <row r="45" ht="49.5" customHeight="1">
      <c r="A45" s="1"/>
      <c r="B45" s="105">
        <v>37.0</v>
      </c>
      <c r="C45" s="106" t="s">
        <v>61</v>
      </c>
      <c r="D45" s="105" t="s">
        <v>28</v>
      </c>
      <c r="E45" s="105" t="s">
        <v>28</v>
      </c>
      <c r="F45" s="105" t="s">
        <v>28</v>
      </c>
      <c r="G45" s="105" t="s">
        <v>28</v>
      </c>
      <c r="H45" s="105" t="s">
        <v>28</v>
      </c>
      <c r="I45" s="105" t="s">
        <v>28</v>
      </c>
      <c r="J45" s="105" t="s">
        <v>28</v>
      </c>
      <c r="K45" s="105" t="s">
        <v>28</v>
      </c>
      <c r="L45" s="102"/>
      <c r="M45" s="102"/>
      <c r="N45" s="105"/>
      <c r="O45" s="105"/>
      <c r="P45" s="105"/>
      <c r="Q45" s="105"/>
      <c r="R45" s="105"/>
      <c r="S45" s="105"/>
      <c r="T45" s="105"/>
      <c r="U45" s="103"/>
      <c r="V45" s="104"/>
      <c r="W45" s="104"/>
      <c r="X45" s="104"/>
      <c r="Y45" s="104"/>
      <c r="Z45" s="1"/>
    </row>
    <row r="46" ht="49.5" customHeight="1">
      <c r="A46" s="1"/>
      <c r="B46" s="105">
        <v>38.0</v>
      </c>
      <c r="C46" s="106" t="s">
        <v>62</v>
      </c>
      <c r="D46" s="105">
        <v>2.97</v>
      </c>
      <c r="E46" s="105">
        <v>3.0</v>
      </c>
      <c r="F46" s="105">
        <v>2.7</v>
      </c>
      <c r="G46" s="105">
        <f>+(D46*E46)/(F46*(D46+E46))</f>
        <v>0.5527638191</v>
      </c>
      <c r="H46" s="105">
        <v>1.0</v>
      </c>
      <c r="I46" s="105">
        <v>2.0</v>
      </c>
      <c r="J46" s="105">
        <f>+H46+I46</f>
        <v>3</v>
      </c>
      <c r="K46" s="105">
        <f>POWER(J46,2)</f>
        <v>9</v>
      </c>
      <c r="L46" s="102"/>
      <c r="M46" s="102"/>
      <c r="N46" s="102"/>
      <c r="O46" s="102"/>
      <c r="P46" s="102"/>
      <c r="Q46" s="102"/>
      <c r="R46" s="102"/>
      <c r="S46" s="102"/>
      <c r="T46" s="102"/>
      <c r="U46" s="103"/>
      <c r="V46" s="104"/>
      <c r="W46" s="104"/>
      <c r="X46" s="104"/>
      <c r="Y46" s="104"/>
      <c r="Z46" s="1"/>
    </row>
    <row r="47" ht="49.5" customHeight="1">
      <c r="A47" s="1"/>
      <c r="B47" s="105">
        <v>39.0</v>
      </c>
      <c r="C47" s="106" t="s">
        <v>63</v>
      </c>
      <c r="D47" s="105" t="s">
        <v>28</v>
      </c>
      <c r="E47" s="105" t="s">
        <v>28</v>
      </c>
      <c r="F47" s="105" t="s">
        <v>28</v>
      </c>
      <c r="G47" s="105" t="s">
        <v>28</v>
      </c>
      <c r="H47" s="105" t="s">
        <v>28</v>
      </c>
      <c r="I47" s="105" t="s">
        <v>28</v>
      </c>
      <c r="J47" s="105" t="s">
        <v>28</v>
      </c>
      <c r="K47" s="105" t="s">
        <v>28</v>
      </c>
      <c r="L47" s="102"/>
      <c r="M47" s="102"/>
      <c r="N47" s="102"/>
      <c r="O47" s="105"/>
      <c r="P47" s="105"/>
      <c r="Q47" s="105"/>
      <c r="R47" s="105"/>
      <c r="S47" s="105"/>
      <c r="T47" s="105"/>
      <c r="U47" s="103"/>
      <c r="V47" s="104"/>
      <c r="W47" s="104"/>
      <c r="X47" s="104"/>
      <c r="Y47" s="104"/>
      <c r="Z47" s="1"/>
    </row>
    <row r="48" ht="49.5" customHeight="1">
      <c r="A48" s="1"/>
      <c r="B48" s="105">
        <v>40.0</v>
      </c>
      <c r="C48" s="106" t="s">
        <v>64</v>
      </c>
      <c r="D48" s="105">
        <v>3.94</v>
      </c>
      <c r="E48" s="105">
        <v>3.35</v>
      </c>
      <c r="F48" s="105">
        <v>3.32</v>
      </c>
      <c r="G48" s="107">
        <f>+(D48*E48)/(F48*(D48+E48))</f>
        <v>0.5453501248</v>
      </c>
      <c r="H48" s="105">
        <v>1.0</v>
      </c>
      <c r="I48" s="105">
        <v>2.0</v>
      </c>
      <c r="J48" s="105">
        <f>+H48+I48</f>
        <v>3</v>
      </c>
      <c r="K48" s="105">
        <f>POWER(J48,2)</f>
        <v>9</v>
      </c>
      <c r="L48" s="102"/>
      <c r="M48" s="102"/>
      <c r="N48" s="102"/>
      <c r="O48" s="102"/>
      <c r="P48" s="102"/>
      <c r="Q48" s="102"/>
      <c r="R48" s="102"/>
      <c r="S48" s="102"/>
      <c r="T48" s="102"/>
      <c r="U48" s="103"/>
      <c r="V48" s="104"/>
      <c r="W48" s="104"/>
      <c r="X48" s="104"/>
      <c r="Y48" s="104"/>
      <c r="Z48" s="1"/>
    </row>
    <row r="49" ht="49.5" customHeight="1">
      <c r="A49" s="1"/>
      <c r="B49" s="105">
        <v>41.0</v>
      </c>
      <c r="C49" s="110" t="s">
        <v>65</v>
      </c>
      <c r="D49" s="105" t="s">
        <v>28</v>
      </c>
      <c r="E49" s="105" t="s">
        <v>28</v>
      </c>
      <c r="F49" s="105" t="s">
        <v>28</v>
      </c>
      <c r="G49" s="105" t="s">
        <v>28</v>
      </c>
      <c r="H49" s="105" t="s">
        <v>28</v>
      </c>
      <c r="I49" s="105" t="s">
        <v>28</v>
      </c>
      <c r="J49" s="105" t="s">
        <v>28</v>
      </c>
      <c r="K49" s="105" t="s">
        <v>28</v>
      </c>
      <c r="L49" s="102"/>
      <c r="M49" s="102"/>
      <c r="N49" s="105"/>
      <c r="O49" s="105"/>
      <c r="P49" s="105"/>
      <c r="Q49" s="105"/>
      <c r="R49" s="105"/>
      <c r="S49" s="105"/>
      <c r="T49" s="105"/>
      <c r="U49" s="103"/>
      <c r="V49" s="104"/>
      <c r="W49" s="104"/>
      <c r="X49" s="104"/>
      <c r="Y49" s="104"/>
      <c r="Z49" s="1"/>
    </row>
    <row r="50" ht="49.5" customHeight="1">
      <c r="A50" s="1"/>
      <c r="B50" s="105">
        <v>42.0</v>
      </c>
      <c r="C50" s="106" t="s">
        <v>66</v>
      </c>
      <c r="D50" s="105">
        <v>3.78</v>
      </c>
      <c r="E50" s="105">
        <v>2.67</v>
      </c>
      <c r="F50" s="105">
        <v>4.25</v>
      </c>
      <c r="G50" s="107">
        <f t="shared" ref="G50:G54" si="16">+(D50*E50)/(F50*(D50+E50))</f>
        <v>0.3681751026</v>
      </c>
      <c r="H50" s="105">
        <v>1.0</v>
      </c>
      <c r="I50" s="105">
        <v>2.0</v>
      </c>
      <c r="J50" s="105">
        <f t="shared" ref="J50:J54" si="17">+H50+I50</f>
        <v>3</v>
      </c>
      <c r="K50" s="105">
        <f t="shared" ref="K50:K54" si="18">POWER(J50,2)</f>
        <v>9</v>
      </c>
      <c r="L50" s="102"/>
      <c r="M50" s="102"/>
      <c r="N50" s="102"/>
      <c r="O50" s="102"/>
      <c r="P50" s="102"/>
      <c r="Q50" s="102"/>
      <c r="R50" s="102"/>
      <c r="S50" s="102"/>
      <c r="T50" s="102"/>
      <c r="U50" s="103"/>
      <c r="V50" s="104"/>
      <c r="W50" s="104"/>
      <c r="X50" s="104"/>
      <c r="Y50" s="104"/>
      <c r="Z50" s="1"/>
    </row>
    <row r="51" ht="49.5" customHeight="1">
      <c r="A51" s="1"/>
      <c r="B51" s="105">
        <v>43.0</v>
      </c>
      <c r="C51" s="106" t="s">
        <v>67</v>
      </c>
      <c r="D51" s="105">
        <v>7.77</v>
      </c>
      <c r="E51" s="105">
        <v>4.19</v>
      </c>
      <c r="F51" s="105">
        <v>2.94</v>
      </c>
      <c r="G51" s="105">
        <f t="shared" si="16"/>
        <v>0.9258838987</v>
      </c>
      <c r="H51" s="105">
        <v>1.0</v>
      </c>
      <c r="I51" s="105">
        <v>2.0</v>
      </c>
      <c r="J51" s="105">
        <f t="shared" si="17"/>
        <v>3</v>
      </c>
      <c r="K51" s="105">
        <f t="shared" si="18"/>
        <v>9</v>
      </c>
      <c r="L51" s="102"/>
      <c r="M51" s="102"/>
      <c r="N51" s="102"/>
      <c r="O51" s="102"/>
      <c r="P51" s="102"/>
      <c r="Q51" s="102"/>
      <c r="R51" s="102"/>
      <c r="S51" s="102"/>
      <c r="T51" s="102"/>
      <c r="U51" s="103"/>
      <c r="V51" s="104"/>
      <c r="W51" s="104"/>
      <c r="X51" s="104"/>
      <c r="Y51" s="104"/>
      <c r="Z51" s="1"/>
    </row>
    <row r="52" ht="49.5" customHeight="1">
      <c r="A52" s="1"/>
      <c r="B52" s="105">
        <v>44.0</v>
      </c>
      <c r="C52" s="106" t="s">
        <v>68</v>
      </c>
      <c r="D52" s="105">
        <v>2.63</v>
      </c>
      <c r="E52" s="105">
        <v>4.18</v>
      </c>
      <c r="F52" s="105">
        <v>2.94</v>
      </c>
      <c r="G52" s="107">
        <f t="shared" si="16"/>
        <v>0.5490824817</v>
      </c>
      <c r="H52" s="105">
        <v>1.0</v>
      </c>
      <c r="I52" s="105">
        <v>2.0</v>
      </c>
      <c r="J52" s="105">
        <f t="shared" si="17"/>
        <v>3</v>
      </c>
      <c r="K52" s="105">
        <f t="shared" si="18"/>
        <v>9</v>
      </c>
      <c r="L52" s="102"/>
      <c r="M52" s="102"/>
      <c r="N52" s="102"/>
      <c r="O52" s="102"/>
      <c r="P52" s="102"/>
      <c r="Q52" s="102"/>
      <c r="R52" s="102"/>
      <c r="S52" s="102"/>
      <c r="T52" s="102"/>
      <c r="U52" s="103"/>
      <c r="V52" s="104"/>
      <c r="W52" s="104"/>
      <c r="X52" s="104"/>
      <c r="Y52" s="104"/>
      <c r="Z52" s="1"/>
    </row>
    <row r="53" ht="49.5" customHeight="1">
      <c r="A53" s="1"/>
      <c r="B53" s="105">
        <v>45.0</v>
      </c>
      <c r="C53" s="106" t="s">
        <v>69</v>
      </c>
      <c r="D53" s="105">
        <v>2.75</v>
      </c>
      <c r="E53" s="105">
        <v>4.21</v>
      </c>
      <c r="F53" s="105">
        <v>2.94</v>
      </c>
      <c r="G53" s="107">
        <f t="shared" si="16"/>
        <v>0.5657938463</v>
      </c>
      <c r="H53" s="105">
        <v>1.0</v>
      </c>
      <c r="I53" s="105">
        <v>2.0</v>
      </c>
      <c r="J53" s="105">
        <f t="shared" si="17"/>
        <v>3</v>
      </c>
      <c r="K53" s="105">
        <f t="shared" si="18"/>
        <v>9</v>
      </c>
      <c r="L53" s="102"/>
      <c r="M53" s="102"/>
      <c r="N53" s="102"/>
      <c r="O53" s="102"/>
      <c r="P53" s="102"/>
      <c r="Q53" s="102"/>
      <c r="R53" s="102"/>
      <c r="S53" s="102"/>
      <c r="T53" s="102"/>
      <c r="U53" s="103"/>
      <c r="V53" s="103"/>
      <c r="W53" s="103"/>
      <c r="X53" s="104"/>
      <c r="Y53" s="104"/>
      <c r="Z53" s="1"/>
    </row>
    <row r="54" ht="49.5" customHeight="1">
      <c r="A54" s="1"/>
      <c r="B54" s="105">
        <v>46.0</v>
      </c>
      <c r="C54" s="106" t="s">
        <v>70</v>
      </c>
      <c r="D54" s="105">
        <v>7.09</v>
      </c>
      <c r="E54" s="105">
        <v>7.72</v>
      </c>
      <c r="F54" s="105">
        <v>3.0</v>
      </c>
      <c r="G54" s="107">
        <f t="shared" si="16"/>
        <v>1.231933378</v>
      </c>
      <c r="H54" s="105">
        <v>1.0</v>
      </c>
      <c r="I54" s="105">
        <v>2.0</v>
      </c>
      <c r="J54" s="105">
        <f t="shared" si="17"/>
        <v>3</v>
      </c>
      <c r="K54" s="105">
        <f t="shared" si="18"/>
        <v>9</v>
      </c>
      <c r="L54" s="102"/>
      <c r="M54" s="102"/>
      <c r="N54" s="102"/>
      <c r="O54" s="102"/>
      <c r="P54" s="102"/>
      <c r="Q54" s="102"/>
      <c r="R54" s="102"/>
      <c r="S54" s="102"/>
      <c r="T54" s="102"/>
      <c r="U54" s="103"/>
      <c r="V54" s="103"/>
      <c r="W54" s="103"/>
      <c r="X54" s="104"/>
      <c r="Y54" s="104"/>
      <c r="Z54" s="1"/>
    </row>
    <row r="55" ht="49.5" customHeight="1">
      <c r="A55" s="1"/>
      <c r="B55" s="105">
        <v>47.0</v>
      </c>
      <c r="C55" s="106" t="s">
        <v>88</v>
      </c>
      <c r="D55" s="105" t="s">
        <v>28</v>
      </c>
      <c r="E55" s="105" t="s">
        <v>28</v>
      </c>
      <c r="F55" s="105" t="s">
        <v>28</v>
      </c>
      <c r="G55" s="105" t="s">
        <v>28</v>
      </c>
      <c r="H55" s="105" t="s">
        <v>28</v>
      </c>
      <c r="I55" s="105" t="s">
        <v>28</v>
      </c>
      <c r="J55" s="105" t="s">
        <v>28</v>
      </c>
      <c r="K55" s="105" t="s">
        <v>28</v>
      </c>
      <c r="L55" s="102"/>
      <c r="M55" s="102"/>
      <c r="N55" s="105"/>
      <c r="O55" s="105"/>
      <c r="P55" s="105"/>
      <c r="Q55" s="105"/>
      <c r="R55" s="105"/>
      <c r="S55" s="105"/>
      <c r="T55" s="105"/>
      <c r="U55" s="103"/>
      <c r="V55" s="103"/>
      <c r="W55" s="103"/>
      <c r="X55" s="104"/>
      <c r="Y55" s="104"/>
      <c r="Z55" s="1"/>
    </row>
    <row r="56" ht="49.5" customHeight="1">
      <c r="A56" s="1"/>
      <c r="B56" s="105">
        <v>48.0</v>
      </c>
      <c r="C56" s="106" t="s">
        <v>89</v>
      </c>
      <c r="D56" s="105" t="s">
        <v>28</v>
      </c>
      <c r="E56" s="105" t="s">
        <v>28</v>
      </c>
      <c r="F56" s="105" t="s">
        <v>28</v>
      </c>
      <c r="G56" s="105" t="s">
        <v>28</v>
      </c>
      <c r="H56" s="105" t="s">
        <v>28</v>
      </c>
      <c r="I56" s="105" t="s">
        <v>28</v>
      </c>
      <c r="J56" s="105" t="s">
        <v>28</v>
      </c>
      <c r="K56" s="105" t="s">
        <v>28</v>
      </c>
      <c r="L56" s="102"/>
      <c r="M56" s="102"/>
      <c r="N56" s="105"/>
      <c r="O56" s="105"/>
      <c r="P56" s="105"/>
      <c r="Q56" s="105"/>
      <c r="R56" s="105"/>
      <c r="S56" s="105"/>
      <c r="T56" s="105"/>
      <c r="U56" s="103"/>
      <c r="V56" s="104"/>
      <c r="W56" s="104"/>
      <c r="X56" s="104"/>
      <c r="Y56" s="104"/>
      <c r="Z56" s="1"/>
    </row>
    <row r="57" ht="49.5" customHeight="1">
      <c r="A57" s="1"/>
      <c r="B57" s="105">
        <v>49.0</v>
      </c>
      <c r="C57" s="106" t="s">
        <v>71</v>
      </c>
      <c r="D57" s="105">
        <v>12.0</v>
      </c>
      <c r="E57" s="105">
        <v>6.0</v>
      </c>
      <c r="F57" s="105">
        <v>4.0</v>
      </c>
      <c r="G57" s="107">
        <f t="shared" ref="G57:G58" si="19">+(D57*E57)/(F57*(D57+E57))</f>
        <v>1</v>
      </c>
      <c r="H57" s="105">
        <v>1.0</v>
      </c>
      <c r="I57" s="105">
        <v>2.0</v>
      </c>
      <c r="J57" s="105">
        <f t="shared" ref="J57:J58" si="20">+H57+I57</f>
        <v>3</v>
      </c>
      <c r="K57" s="105">
        <f t="shared" ref="K57:K58" si="21">POWER(J57,2)</f>
        <v>9</v>
      </c>
      <c r="L57" s="102"/>
      <c r="M57" s="102"/>
      <c r="N57" s="102"/>
      <c r="O57" s="102"/>
      <c r="P57" s="102"/>
      <c r="Q57" s="102"/>
      <c r="R57" s="102"/>
      <c r="S57" s="102"/>
      <c r="T57" s="102"/>
      <c r="U57" s="103"/>
      <c r="V57" s="104"/>
      <c r="W57" s="104"/>
      <c r="X57" s="104"/>
      <c r="Y57" s="104"/>
      <c r="Z57" s="1"/>
    </row>
    <row r="58" ht="49.5" customHeight="1">
      <c r="A58" s="1"/>
      <c r="B58" s="105">
        <v>50.0</v>
      </c>
      <c r="C58" s="106" t="s">
        <v>72</v>
      </c>
      <c r="D58" s="105">
        <v>4.0</v>
      </c>
      <c r="E58" s="105">
        <v>2.0</v>
      </c>
      <c r="F58" s="105">
        <v>3.0</v>
      </c>
      <c r="G58" s="107">
        <f t="shared" si="19"/>
        <v>0.4444444444</v>
      </c>
      <c r="H58" s="105">
        <v>1.0</v>
      </c>
      <c r="I58" s="105">
        <v>2.0</v>
      </c>
      <c r="J58" s="105">
        <f t="shared" si="20"/>
        <v>3</v>
      </c>
      <c r="K58" s="105">
        <f t="shared" si="21"/>
        <v>9</v>
      </c>
      <c r="L58" s="102"/>
      <c r="M58" s="102"/>
      <c r="N58" s="102"/>
      <c r="O58" s="102"/>
      <c r="P58" s="102"/>
      <c r="Q58" s="102"/>
      <c r="R58" s="102"/>
      <c r="S58" s="102"/>
      <c r="T58" s="102"/>
      <c r="U58" s="103"/>
      <c r="V58" s="104"/>
      <c r="W58" s="104"/>
      <c r="X58" s="104"/>
      <c r="Y58" s="104"/>
      <c r="Z58" s="1"/>
    </row>
    <row r="59" ht="49.5" customHeight="1">
      <c r="A59" s="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03"/>
      <c r="V59" s="104"/>
      <c r="W59" s="104"/>
      <c r="X59" s="104"/>
      <c r="Y59" s="104"/>
      <c r="Z59" s="1"/>
    </row>
    <row r="60" ht="49.5" customHeight="1">
      <c r="A60" s="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03"/>
      <c r="V60" s="104"/>
      <c r="W60" s="104"/>
      <c r="X60" s="104"/>
      <c r="Y60" s="104"/>
      <c r="Z60" s="1"/>
    </row>
    <row r="61" ht="49.5" customHeight="1">
      <c r="A61" s="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03"/>
      <c r="V61" s="103"/>
      <c r="W61" s="103"/>
      <c r="X61" s="104"/>
      <c r="Y61" s="104"/>
      <c r="Z61" s="1"/>
    </row>
    <row r="62" ht="49.5" customHeight="1">
      <c r="A62" s="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03"/>
      <c r="V62" s="103"/>
      <c r="W62" s="103"/>
      <c r="X62" s="104"/>
      <c r="Y62" s="104"/>
      <c r="Z62" s="1"/>
    </row>
    <row r="63" ht="49.5" customHeight="1">
      <c r="A63" s="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03"/>
      <c r="V63" s="103"/>
      <c r="W63" s="103"/>
      <c r="X63" s="104"/>
      <c r="Y63" s="104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1">
        <f>COUNT(L5:T31,L32:T58)</f>
        <v>0</v>
      </c>
      <c r="M64" s="1"/>
      <c r="N64" s="1"/>
      <c r="O64" s="1"/>
      <c r="P64" s="1"/>
      <c r="Q64" s="1"/>
      <c r="R64" s="1"/>
      <c r="S64" s="1"/>
      <c r="T64" s="1"/>
      <c r="U64" s="90"/>
      <c r="V64" s="90"/>
      <c r="W64" s="90"/>
      <c r="X64" s="90"/>
      <c r="Y64" s="90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90"/>
      <c r="V65" s="90"/>
      <c r="W65" s="90"/>
      <c r="X65" s="90"/>
      <c r="Y65" s="90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90"/>
      <c r="V66" s="90"/>
      <c r="W66" s="90"/>
      <c r="X66" s="90"/>
      <c r="Y66" s="90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90"/>
      <c r="V67" s="90"/>
      <c r="W67" s="90"/>
      <c r="X67" s="90"/>
      <c r="Y67" s="90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90"/>
      <c r="V68" s="90"/>
      <c r="W68" s="90"/>
      <c r="X68" s="90"/>
      <c r="Y68" s="90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90"/>
      <c r="V69" s="90"/>
      <c r="W69" s="90"/>
      <c r="X69" s="90"/>
      <c r="Y69" s="90"/>
      <c r="Z69" s="1"/>
    </row>
    <row r="70" ht="17.25" customHeight="1">
      <c r="A70" s="1"/>
      <c r="B70" s="1"/>
      <c r="C70" s="1"/>
      <c r="D70" s="1"/>
      <c r="E70" s="1"/>
      <c r="F70" s="1"/>
      <c r="G70" s="1">
        <f>AVERAGE(F49:H69)</f>
        <v>1.674062531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90"/>
      <c r="V70" s="90"/>
      <c r="W70" s="90"/>
      <c r="X70" s="90"/>
      <c r="Y70" s="90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90"/>
      <c r="V71" s="90"/>
      <c r="W71" s="90"/>
      <c r="X71" s="90"/>
      <c r="Y71" s="90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90"/>
      <c r="V72" s="90"/>
      <c r="W72" s="90"/>
      <c r="X72" s="90"/>
      <c r="Y72" s="90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90"/>
      <c r="V73" s="90"/>
      <c r="W73" s="90"/>
      <c r="X73" s="90"/>
      <c r="Y73" s="90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90"/>
      <c r="V74" s="90"/>
      <c r="W74" s="90"/>
      <c r="X74" s="90"/>
      <c r="Y74" s="90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90"/>
      <c r="V75" s="90"/>
      <c r="W75" s="90"/>
      <c r="X75" s="90"/>
      <c r="Y75" s="90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90"/>
      <c r="V76" s="90"/>
      <c r="W76" s="90"/>
      <c r="X76" s="90"/>
      <c r="Y76" s="90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90"/>
      <c r="V77" s="90"/>
      <c r="W77" s="90"/>
      <c r="X77" s="90"/>
      <c r="Y77" s="90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90"/>
      <c r="V78" s="90"/>
      <c r="W78" s="90"/>
      <c r="X78" s="90"/>
      <c r="Y78" s="90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90"/>
      <c r="V79" s="90"/>
      <c r="W79" s="90"/>
      <c r="X79" s="90"/>
      <c r="Y79" s="90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90"/>
      <c r="V80" s="90"/>
      <c r="W80" s="90"/>
      <c r="X80" s="90"/>
      <c r="Y80" s="90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90"/>
      <c r="V81" s="90"/>
      <c r="W81" s="90"/>
      <c r="X81" s="90"/>
      <c r="Y81" s="90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90"/>
      <c r="V82" s="90"/>
      <c r="W82" s="90"/>
      <c r="X82" s="90"/>
      <c r="Y82" s="90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90"/>
      <c r="V83" s="90"/>
      <c r="W83" s="90"/>
      <c r="X83" s="90"/>
      <c r="Y83" s="90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90"/>
      <c r="V84" s="90"/>
      <c r="W84" s="90"/>
      <c r="X84" s="90"/>
      <c r="Y84" s="90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90"/>
      <c r="V85" s="90"/>
      <c r="W85" s="90"/>
      <c r="X85" s="90"/>
      <c r="Y85" s="90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90"/>
      <c r="V86" s="90"/>
      <c r="W86" s="90"/>
      <c r="X86" s="90"/>
      <c r="Y86" s="90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90"/>
      <c r="V87" s="90"/>
      <c r="W87" s="90"/>
      <c r="X87" s="90"/>
      <c r="Y87" s="90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90"/>
      <c r="V88" s="90"/>
      <c r="W88" s="90"/>
      <c r="X88" s="90"/>
      <c r="Y88" s="90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90"/>
      <c r="V89" s="90"/>
      <c r="W89" s="90"/>
      <c r="X89" s="90"/>
      <c r="Y89" s="90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90"/>
      <c r="V90" s="90"/>
      <c r="W90" s="90"/>
      <c r="X90" s="90"/>
      <c r="Y90" s="90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90"/>
      <c r="V91" s="90"/>
      <c r="W91" s="90"/>
      <c r="X91" s="90"/>
      <c r="Y91" s="90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90"/>
      <c r="V92" s="90"/>
      <c r="W92" s="90"/>
      <c r="X92" s="90"/>
      <c r="Y92" s="90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90"/>
      <c r="V93" s="90"/>
      <c r="W93" s="90"/>
      <c r="X93" s="90"/>
      <c r="Y93" s="90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90"/>
      <c r="V94" s="90"/>
      <c r="W94" s="90"/>
      <c r="X94" s="90"/>
      <c r="Y94" s="90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90"/>
      <c r="V95" s="90"/>
      <c r="W95" s="90"/>
      <c r="X95" s="90"/>
      <c r="Y95" s="90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90"/>
      <c r="V96" s="90"/>
      <c r="W96" s="90"/>
      <c r="X96" s="90"/>
      <c r="Y96" s="90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90"/>
      <c r="V97" s="90"/>
      <c r="W97" s="90"/>
      <c r="X97" s="90"/>
      <c r="Y97" s="90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90"/>
      <c r="V98" s="90"/>
      <c r="W98" s="90"/>
      <c r="X98" s="90"/>
      <c r="Y98" s="90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90"/>
      <c r="V99" s="90"/>
      <c r="W99" s="90"/>
      <c r="X99" s="90"/>
      <c r="Y99" s="90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90"/>
      <c r="V100" s="90"/>
      <c r="W100" s="90"/>
      <c r="X100" s="90"/>
      <c r="Y100" s="90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90"/>
      <c r="V101" s="90"/>
      <c r="W101" s="90"/>
      <c r="X101" s="90"/>
      <c r="Y101" s="90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90"/>
      <c r="V102" s="90"/>
      <c r="W102" s="90"/>
      <c r="X102" s="90"/>
      <c r="Y102" s="90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90"/>
      <c r="V103" s="90"/>
      <c r="W103" s="90"/>
      <c r="X103" s="90"/>
      <c r="Y103" s="90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90"/>
      <c r="V104" s="90"/>
      <c r="W104" s="90"/>
      <c r="X104" s="90"/>
      <c r="Y104" s="90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90"/>
      <c r="V105" s="90"/>
      <c r="W105" s="90"/>
      <c r="X105" s="90"/>
      <c r="Y105" s="90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90"/>
      <c r="V106" s="90"/>
      <c r="W106" s="90"/>
      <c r="X106" s="90"/>
      <c r="Y106" s="90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90"/>
      <c r="V107" s="90"/>
      <c r="W107" s="90"/>
      <c r="X107" s="90"/>
      <c r="Y107" s="90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90"/>
      <c r="V108" s="90"/>
      <c r="W108" s="90"/>
      <c r="X108" s="90"/>
      <c r="Y108" s="90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90"/>
      <c r="V109" s="90"/>
      <c r="W109" s="90"/>
      <c r="X109" s="90"/>
      <c r="Y109" s="90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90"/>
      <c r="V110" s="90"/>
      <c r="W110" s="90"/>
      <c r="X110" s="90"/>
      <c r="Y110" s="90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90"/>
      <c r="V111" s="90"/>
      <c r="W111" s="90"/>
      <c r="X111" s="90"/>
      <c r="Y111" s="90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90"/>
      <c r="V112" s="90"/>
      <c r="W112" s="90"/>
      <c r="X112" s="90"/>
      <c r="Y112" s="90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90"/>
      <c r="V113" s="90"/>
      <c r="W113" s="90"/>
      <c r="X113" s="90"/>
      <c r="Y113" s="90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90"/>
      <c r="V114" s="90"/>
      <c r="W114" s="90"/>
      <c r="X114" s="90"/>
      <c r="Y114" s="90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90"/>
      <c r="V115" s="90"/>
      <c r="W115" s="90"/>
      <c r="X115" s="90"/>
      <c r="Y115" s="90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90"/>
      <c r="V116" s="90"/>
      <c r="W116" s="90"/>
      <c r="X116" s="90"/>
      <c r="Y116" s="90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90"/>
      <c r="V117" s="90"/>
      <c r="W117" s="90"/>
      <c r="X117" s="90"/>
      <c r="Y117" s="90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90"/>
      <c r="V118" s="90"/>
      <c r="W118" s="90"/>
      <c r="X118" s="90"/>
      <c r="Y118" s="90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90"/>
      <c r="V119" s="90"/>
      <c r="W119" s="90"/>
      <c r="X119" s="90"/>
      <c r="Y119" s="90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90"/>
      <c r="V120" s="90"/>
      <c r="W120" s="90"/>
      <c r="X120" s="90"/>
      <c r="Y120" s="90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90"/>
      <c r="V121" s="90"/>
      <c r="W121" s="90"/>
      <c r="X121" s="90"/>
      <c r="Y121" s="90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90"/>
      <c r="V122" s="90"/>
      <c r="W122" s="90"/>
      <c r="X122" s="90"/>
      <c r="Y122" s="90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90"/>
      <c r="V123" s="90"/>
      <c r="W123" s="90"/>
      <c r="X123" s="90"/>
      <c r="Y123" s="90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90"/>
      <c r="V124" s="90"/>
      <c r="W124" s="90"/>
      <c r="X124" s="90"/>
      <c r="Y124" s="90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90"/>
      <c r="V125" s="90"/>
      <c r="W125" s="90"/>
      <c r="X125" s="90"/>
      <c r="Y125" s="90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90"/>
      <c r="V126" s="90"/>
      <c r="W126" s="90"/>
      <c r="X126" s="90"/>
      <c r="Y126" s="90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90"/>
      <c r="V127" s="90"/>
      <c r="W127" s="90"/>
      <c r="X127" s="90"/>
      <c r="Y127" s="90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90"/>
      <c r="V128" s="90"/>
      <c r="W128" s="90"/>
      <c r="X128" s="90"/>
      <c r="Y128" s="90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90"/>
      <c r="V129" s="90"/>
      <c r="W129" s="90"/>
      <c r="X129" s="90"/>
      <c r="Y129" s="90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90"/>
      <c r="V130" s="90"/>
      <c r="W130" s="90"/>
      <c r="X130" s="90"/>
      <c r="Y130" s="90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90"/>
      <c r="V131" s="90"/>
      <c r="W131" s="90"/>
      <c r="X131" s="90"/>
      <c r="Y131" s="90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90"/>
      <c r="V132" s="90"/>
      <c r="W132" s="90"/>
      <c r="X132" s="90"/>
      <c r="Y132" s="90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90"/>
      <c r="V133" s="90"/>
      <c r="W133" s="90"/>
      <c r="X133" s="90"/>
      <c r="Y133" s="90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90"/>
      <c r="V134" s="90"/>
      <c r="W134" s="90"/>
      <c r="X134" s="90"/>
      <c r="Y134" s="90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90"/>
      <c r="V135" s="90"/>
      <c r="W135" s="90"/>
      <c r="X135" s="90"/>
      <c r="Y135" s="90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90"/>
      <c r="V136" s="90"/>
      <c r="W136" s="90"/>
      <c r="X136" s="90"/>
      <c r="Y136" s="90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90"/>
      <c r="V137" s="90"/>
      <c r="W137" s="90"/>
      <c r="X137" s="90"/>
      <c r="Y137" s="90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90"/>
      <c r="V138" s="90"/>
      <c r="W138" s="90"/>
      <c r="X138" s="90"/>
      <c r="Y138" s="90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90"/>
      <c r="V139" s="90"/>
      <c r="W139" s="90"/>
      <c r="X139" s="90"/>
      <c r="Y139" s="90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90"/>
      <c r="V140" s="90"/>
      <c r="W140" s="90"/>
      <c r="X140" s="90"/>
      <c r="Y140" s="90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90"/>
      <c r="V141" s="90"/>
      <c r="W141" s="90"/>
      <c r="X141" s="90"/>
      <c r="Y141" s="90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90"/>
      <c r="V142" s="90"/>
      <c r="W142" s="90"/>
      <c r="X142" s="90"/>
      <c r="Y142" s="90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90"/>
      <c r="V143" s="90"/>
      <c r="W143" s="90"/>
      <c r="X143" s="90"/>
      <c r="Y143" s="90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90"/>
      <c r="V144" s="90"/>
      <c r="W144" s="90"/>
      <c r="X144" s="90"/>
      <c r="Y144" s="90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90"/>
      <c r="V145" s="90"/>
      <c r="W145" s="90"/>
      <c r="X145" s="90"/>
      <c r="Y145" s="90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90"/>
      <c r="V146" s="90"/>
      <c r="W146" s="90"/>
      <c r="X146" s="90"/>
      <c r="Y146" s="90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90"/>
      <c r="V147" s="90"/>
      <c r="W147" s="90"/>
      <c r="X147" s="90"/>
      <c r="Y147" s="90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90"/>
      <c r="V148" s="90"/>
      <c r="W148" s="90"/>
      <c r="X148" s="90"/>
      <c r="Y148" s="90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90"/>
      <c r="V149" s="90"/>
      <c r="W149" s="90"/>
      <c r="X149" s="90"/>
      <c r="Y149" s="90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90"/>
      <c r="V150" s="90"/>
      <c r="W150" s="90"/>
      <c r="X150" s="90"/>
      <c r="Y150" s="90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90"/>
      <c r="V151" s="90"/>
      <c r="W151" s="90"/>
      <c r="X151" s="90"/>
      <c r="Y151" s="90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90"/>
      <c r="V152" s="90"/>
      <c r="W152" s="90"/>
      <c r="X152" s="90"/>
      <c r="Y152" s="90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90"/>
      <c r="V153" s="90"/>
      <c r="W153" s="90"/>
      <c r="X153" s="90"/>
      <c r="Y153" s="90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90"/>
      <c r="V154" s="90"/>
      <c r="W154" s="90"/>
      <c r="X154" s="90"/>
      <c r="Y154" s="90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90"/>
      <c r="V155" s="90"/>
      <c r="W155" s="90"/>
      <c r="X155" s="90"/>
      <c r="Y155" s="90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90"/>
      <c r="V156" s="90"/>
      <c r="W156" s="90"/>
      <c r="X156" s="90"/>
      <c r="Y156" s="90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90"/>
      <c r="V157" s="90"/>
      <c r="W157" s="90"/>
      <c r="X157" s="90"/>
      <c r="Y157" s="90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90"/>
      <c r="V158" s="90"/>
      <c r="W158" s="90"/>
      <c r="X158" s="90"/>
      <c r="Y158" s="90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90"/>
      <c r="V159" s="90"/>
      <c r="W159" s="90"/>
      <c r="X159" s="90"/>
      <c r="Y159" s="90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90"/>
      <c r="V160" s="90"/>
      <c r="W160" s="90"/>
      <c r="X160" s="90"/>
      <c r="Y160" s="90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90"/>
      <c r="V161" s="90"/>
      <c r="W161" s="90"/>
      <c r="X161" s="90"/>
      <c r="Y161" s="90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90"/>
      <c r="V162" s="90"/>
      <c r="W162" s="90"/>
      <c r="X162" s="90"/>
      <c r="Y162" s="90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90"/>
      <c r="V163" s="90"/>
      <c r="W163" s="90"/>
      <c r="X163" s="90"/>
      <c r="Y163" s="90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90"/>
      <c r="V164" s="90"/>
      <c r="W164" s="90"/>
      <c r="X164" s="90"/>
      <c r="Y164" s="90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90"/>
      <c r="V165" s="90"/>
      <c r="W165" s="90"/>
      <c r="X165" s="90"/>
      <c r="Y165" s="90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90"/>
      <c r="V166" s="90"/>
      <c r="W166" s="90"/>
      <c r="X166" s="90"/>
      <c r="Y166" s="90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90"/>
      <c r="V167" s="90"/>
      <c r="W167" s="90"/>
      <c r="X167" s="90"/>
      <c r="Y167" s="90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90"/>
      <c r="V168" s="90"/>
      <c r="W168" s="90"/>
      <c r="X168" s="90"/>
      <c r="Y168" s="90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90"/>
      <c r="V169" s="90"/>
      <c r="W169" s="90"/>
      <c r="X169" s="90"/>
      <c r="Y169" s="90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90"/>
      <c r="V170" s="90"/>
      <c r="W170" s="90"/>
      <c r="X170" s="90"/>
      <c r="Y170" s="90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90"/>
      <c r="V171" s="90"/>
      <c r="W171" s="90"/>
      <c r="X171" s="90"/>
      <c r="Y171" s="90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90"/>
      <c r="V172" s="90"/>
      <c r="W172" s="90"/>
      <c r="X172" s="90"/>
      <c r="Y172" s="90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90"/>
      <c r="V173" s="90"/>
      <c r="W173" s="90"/>
      <c r="X173" s="90"/>
      <c r="Y173" s="90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90"/>
      <c r="V174" s="90"/>
      <c r="W174" s="90"/>
      <c r="X174" s="90"/>
      <c r="Y174" s="90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90"/>
      <c r="V175" s="90"/>
      <c r="W175" s="90"/>
      <c r="X175" s="90"/>
      <c r="Y175" s="90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90"/>
      <c r="V176" s="90"/>
      <c r="W176" s="90"/>
      <c r="X176" s="90"/>
      <c r="Y176" s="90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90"/>
      <c r="V177" s="90"/>
      <c r="W177" s="90"/>
      <c r="X177" s="90"/>
      <c r="Y177" s="90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90"/>
      <c r="V178" s="90"/>
      <c r="W178" s="90"/>
      <c r="X178" s="90"/>
      <c r="Y178" s="90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90"/>
      <c r="V179" s="90"/>
      <c r="W179" s="90"/>
      <c r="X179" s="90"/>
      <c r="Y179" s="90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90"/>
      <c r="V180" s="90"/>
      <c r="W180" s="90"/>
      <c r="X180" s="90"/>
      <c r="Y180" s="90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90"/>
      <c r="V181" s="90"/>
      <c r="W181" s="90"/>
      <c r="X181" s="90"/>
      <c r="Y181" s="90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90"/>
      <c r="V182" s="90"/>
      <c r="W182" s="90"/>
      <c r="X182" s="90"/>
      <c r="Y182" s="90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90"/>
      <c r="V183" s="90"/>
      <c r="W183" s="90"/>
      <c r="X183" s="90"/>
      <c r="Y183" s="90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90"/>
      <c r="V184" s="90"/>
      <c r="W184" s="90"/>
      <c r="X184" s="90"/>
      <c r="Y184" s="90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90"/>
      <c r="V185" s="90"/>
      <c r="W185" s="90"/>
      <c r="X185" s="90"/>
      <c r="Y185" s="90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90"/>
      <c r="V186" s="90"/>
      <c r="W186" s="90"/>
      <c r="X186" s="90"/>
      <c r="Y186" s="90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90"/>
      <c r="V187" s="90"/>
      <c r="W187" s="90"/>
      <c r="X187" s="90"/>
      <c r="Y187" s="90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90"/>
      <c r="V188" s="90"/>
      <c r="W188" s="90"/>
      <c r="X188" s="90"/>
      <c r="Y188" s="90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90"/>
      <c r="V189" s="90"/>
      <c r="W189" s="90"/>
      <c r="X189" s="90"/>
      <c r="Y189" s="90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90"/>
      <c r="V190" s="90"/>
      <c r="W190" s="90"/>
      <c r="X190" s="90"/>
      <c r="Y190" s="90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90"/>
      <c r="V191" s="90"/>
      <c r="W191" s="90"/>
      <c r="X191" s="90"/>
      <c r="Y191" s="90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90"/>
      <c r="V192" s="90"/>
      <c r="W192" s="90"/>
      <c r="X192" s="90"/>
      <c r="Y192" s="90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90"/>
      <c r="V193" s="90"/>
      <c r="W193" s="90"/>
      <c r="X193" s="90"/>
      <c r="Y193" s="90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90"/>
      <c r="V194" s="90"/>
      <c r="W194" s="90"/>
      <c r="X194" s="90"/>
      <c r="Y194" s="90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90"/>
      <c r="V195" s="90"/>
      <c r="W195" s="90"/>
      <c r="X195" s="90"/>
      <c r="Y195" s="90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90"/>
      <c r="V196" s="90"/>
      <c r="W196" s="90"/>
      <c r="X196" s="90"/>
      <c r="Y196" s="90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90"/>
      <c r="V197" s="90"/>
      <c r="W197" s="90"/>
      <c r="X197" s="90"/>
      <c r="Y197" s="90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90"/>
      <c r="V198" s="90"/>
      <c r="W198" s="90"/>
      <c r="X198" s="90"/>
      <c r="Y198" s="90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90"/>
      <c r="V199" s="90"/>
      <c r="W199" s="90"/>
      <c r="X199" s="90"/>
      <c r="Y199" s="90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90"/>
      <c r="V200" s="90"/>
      <c r="W200" s="90"/>
      <c r="X200" s="90"/>
      <c r="Y200" s="90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90"/>
      <c r="V201" s="90"/>
      <c r="W201" s="90"/>
      <c r="X201" s="90"/>
      <c r="Y201" s="90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90"/>
      <c r="V202" s="90"/>
      <c r="W202" s="90"/>
      <c r="X202" s="90"/>
      <c r="Y202" s="90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90"/>
      <c r="V203" s="90"/>
      <c r="W203" s="90"/>
      <c r="X203" s="90"/>
      <c r="Y203" s="90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90"/>
      <c r="V204" s="90"/>
      <c r="W204" s="90"/>
      <c r="X204" s="90"/>
      <c r="Y204" s="90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90"/>
      <c r="V205" s="90"/>
      <c r="W205" s="90"/>
      <c r="X205" s="90"/>
      <c r="Y205" s="90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90"/>
      <c r="V206" s="90"/>
      <c r="W206" s="90"/>
      <c r="X206" s="90"/>
      <c r="Y206" s="90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90"/>
      <c r="V207" s="90"/>
      <c r="W207" s="90"/>
      <c r="X207" s="90"/>
      <c r="Y207" s="90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90"/>
      <c r="V208" s="90"/>
      <c r="W208" s="90"/>
      <c r="X208" s="90"/>
      <c r="Y208" s="90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90"/>
      <c r="V209" s="90"/>
      <c r="W209" s="90"/>
      <c r="X209" s="90"/>
      <c r="Y209" s="90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90"/>
      <c r="V210" s="90"/>
      <c r="W210" s="90"/>
      <c r="X210" s="90"/>
      <c r="Y210" s="90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90"/>
      <c r="V211" s="90"/>
      <c r="W211" s="90"/>
      <c r="X211" s="90"/>
      <c r="Y211" s="90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90"/>
      <c r="V212" s="90"/>
      <c r="W212" s="90"/>
      <c r="X212" s="90"/>
      <c r="Y212" s="90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90"/>
      <c r="V213" s="90"/>
      <c r="W213" s="90"/>
      <c r="X213" s="90"/>
      <c r="Y213" s="90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90"/>
      <c r="V214" s="90"/>
      <c r="W214" s="90"/>
      <c r="X214" s="90"/>
      <c r="Y214" s="90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90"/>
      <c r="V215" s="90"/>
      <c r="W215" s="90"/>
      <c r="X215" s="90"/>
      <c r="Y215" s="90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90"/>
      <c r="V216" s="90"/>
      <c r="W216" s="90"/>
      <c r="X216" s="90"/>
      <c r="Y216" s="90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90"/>
      <c r="V217" s="90"/>
      <c r="W217" s="90"/>
      <c r="X217" s="90"/>
      <c r="Y217" s="90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90"/>
      <c r="V218" s="90"/>
      <c r="W218" s="90"/>
      <c r="X218" s="90"/>
      <c r="Y218" s="90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90"/>
      <c r="V219" s="90"/>
      <c r="W219" s="90"/>
      <c r="X219" s="90"/>
      <c r="Y219" s="90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90"/>
      <c r="V220" s="90"/>
      <c r="W220" s="90"/>
      <c r="X220" s="90"/>
      <c r="Y220" s="90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90"/>
      <c r="V221" s="90"/>
      <c r="W221" s="90"/>
      <c r="X221" s="90"/>
      <c r="Y221" s="90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90"/>
      <c r="V222" s="90"/>
      <c r="W222" s="90"/>
      <c r="X222" s="90"/>
      <c r="Y222" s="90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90"/>
      <c r="V223" s="90"/>
      <c r="W223" s="90"/>
      <c r="X223" s="90"/>
      <c r="Y223" s="90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90"/>
      <c r="V224" s="90"/>
      <c r="W224" s="90"/>
      <c r="X224" s="90"/>
      <c r="Y224" s="90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90"/>
      <c r="V225" s="90"/>
      <c r="W225" s="90"/>
      <c r="X225" s="90"/>
      <c r="Y225" s="90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90"/>
      <c r="V226" s="90"/>
      <c r="W226" s="90"/>
      <c r="X226" s="90"/>
      <c r="Y226" s="90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90"/>
      <c r="V227" s="90"/>
      <c r="W227" s="90"/>
      <c r="X227" s="90"/>
      <c r="Y227" s="90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90"/>
      <c r="V228" s="90"/>
      <c r="W228" s="90"/>
      <c r="X228" s="90"/>
      <c r="Y228" s="90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90"/>
      <c r="V229" s="90"/>
      <c r="W229" s="90"/>
      <c r="X229" s="90"/>
      <c r="Y229" s="90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90"/>
      <c r="V230" s="90"/>
      <c r="W230" s="90"/>
      <c r="X230" s="90"/>
      <c r="Y230" s="90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90"/>
      <c r="V231" s="90"/>
      <c r="W231" s="90"/>
      <c r="X231" s="90"/>
      <c r="Y231" s="90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90"/>
      <c r="V232" s="90"/>
      <c r="W232" s="90"/>
      <c r="X232" s="90"/>
      <c r="Y232" s="90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90"/>
      <c r="V233" s="90"/>
      <c r="W233" s="90"/>
      <c r="X233" s="90"/>
      <c r="Y233" s="90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90"/>
      <c r="V234" s="90"/>
      <c r="W234" s="90"/>
      <c r="X234" s="90"/>
      <c r="Y234" s="90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90"/>
      <c r="V235" s="90"/>
      <c r="W235" s="90"/>
      <c r="X235" s="90"/>
      <c r="Y235" s="90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90"/>
      <c r="V236" s="90"/>
      <c r="W236" s="90"/>
      <c r="X236" s="90"/>
      <c r="Y236" s="90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90"/>
      <c r="V237" s="90"/>
      <c r="W237" s="90"/>
      <c r="X237" s="90"/>
      <c r="Y237" s="90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90"/>
      <c r="V238" s="90"/>
      <c r="W238" s="90"/>
      <c r="X238" s="90"/>
      <c r="Y238" s="90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90"/>
      <c r="V239" s="90"/>
      <c r="W239" s="90"/>
      <c r="X239" s="90"/>
      <c r="Y239" s="90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90"/>
      <c r="V240" s="90"/>
      <c r="W240" s="90"/>
      <c r="X240" s="90"/>
      <c r="Y240" s="90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90"/>
      <c r="V241" s="90"/>
      <c r="W241" s="90"/>
      <c r="X241" s="90"/>
      <c r="Y241" s="90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90"/>
      <c r="V242" s="90"/>
      <c r="W242" s="90"/>
      <c r="X242" s="90"/>
      <c r="Y242" s="90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90"/>
      <c r="V243" s="90"/>
      <c r="W243" s="90"/>
      <c r="X243" s="90"/>
      <c r="Y243" s="90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90"/>
      <c r="V244" s="90"/>
      <c r="W244" s="90"/>
      <c r="X244" s="90"/>
      <c r="Y244" s="90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90"/>
      <c r="V245" s="90"/>
      <c r="W245" s="90"/>
      <c r="X245" s="90"/>
      <c r="Y245" s="90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90"/>
      <c r="V246" s="90"/>
      <c r="W246" s="90"/>
      <c r="X246" s="90"/>
      <c r="Y246" s="90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90"/>
      <c r="V247" s="90"/>
      <c r="W247" s="90"/>
      <c r="X247" s="90"/>
      <c r="Y247" s="90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90"/>
      <c r="V248" s="90"/>
      <c r="W248" s="90"/>
      <c r="X248" s="90"/>
      <c r="Y248" s="90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90"/>
      <c r="V249" s="90"/>
      <c r="W249" s="90"/>
      <c r="X249" s="90"/>
      <c r="Y249" s="90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90"/>
      <c r="V250" s="90"/>
      <c r="W250" s="90"/>
      <c r="X250" s="90"/>
      <c r="Y250" s="90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90"/>
      <c r="V251" s="90"/>
      <c r="W251" s="90"/>
      <c r="X251" s="90"/>
      <c r="Y251" s="90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90"/>
      <c r="V252" s="90"/>
      <c r="W252" s="90"/>
      <c r="X252" s="90"/>
      <c r="Y252" s="90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90"/>
      <c r="V253" s="90"/>
      <c r="W253" s="90"/>
      <c r="X253" s="90"/>
      <c r="Y253" s="90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90"/>
      <c r="V254" s="90"/>
      <c r="W254" s="90"/>
      <c r="X254" s="90"/>
      <c r="Y254" s="90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90"/>
      <c r="V255" s="90"/>
      <c r="W255" s="90"/>
      <c r="X255" s="90"/>
      <c r="Y255" s="90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90"/>
      <c r="V256" s="90"/>
      <c r="W256" s="90"/>
      <c r="X256" s="90"/>
      <c r="Y256" s="90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90"/>
      <c r="V257" s="90"/>
      <c r="W257" s="90"/>
      <c r="X257" s="90"/>
      <c r="Y257" s="90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90"/>
      <c r="V258" s="90"/>
      <c r="W258" s="90"/>
      <c r="X258" s="90"/>
      <c r="Y258" s="90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90"/>
      <c r="V259" s="90"/>
      <c r="W259" s="90"/>
      <c r="X259" s="90"/>
      <c r="Y259" s="90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90"/>
      <c r="V260" s="90"/>
      <c r="W260" s="90"/>
      <c r="X260" s="90"/>
      <c r="Y260" s="90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90"/>
      <c r="V261" s="90"/>
      <c r="W261" s="90"/>
      <c r="X261" s="90"/>
      <c r="Y261" s="90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90"/>
      <c r="V262" s="90"/>
      <c r="W262" s="90"/>
      <c r="X262" s="90"/>
      <c r="Y262" s="90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90"/>
      <c r="V263" s="90"/>
      <c r="W263" s="90"/>
      <c r="X263" s="90"/>
      <c r="Y263" s="90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90"/>
      <c r="V264" s="90"/>
      <c r="W264" s="90"/>
      <c r="X264" s="90"/>
      <c r="Y264" s="90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90"/>
      <c r="V265" s="90"/>
      <c r="W265" s="90"/>
      <c r="X265" s="90"/>
      <c r="Y265" s="90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90"/>
      <c r="V266" s="90"/>
      <c r="W266" s="90"/>
      <c r="X266" s="90"/>
      <c r="Y266" s="90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90"/>
      <c r="V267" s="90"/>
      <c r="W267" s="90"/>
      <c r="X267" s="90"/>
      <c r="Y267" s="90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90"/>
      <c r="V268" s="90"/>
      <c r="W268" s="90"/>
      <c r="X268" s="90"/>
      <c r="Y268" s="90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90"/>
      <c r="V269" s="90"/>
      <c r="W269" s="90"/>
      <c r="X269" s="90"/>
      <c r="Y269" s="90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90"/>
      <c r="V270" s="90"/>
      <c r="W270" s="90"/>
      <c r="X270" s="90"/>
      <c r="Y270" s="90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90"/>
      <c r="V271" s="90"/>
      <c r="W271" s="90"/>
      <c r="X271" s="90"/>
      <c r="Y271" s="90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90"/>
      <c r="V272" s="90"/>
      <c r="W272" s="90"/>
      <c r="X272" s="90"/>
      <c r="Y272" s="90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90"/>
      <c r="V273" s="90"/>
      <c r="W273" s="90"/>
      <c r="X273" s="90"/>
      <c r="Y273" s="90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90"/>
      <c r="V274" s="90"/>
      <c r="W274" s="90"/>
      <c r="X274" s="90"/>
      <c r="Y274" s="90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90"/>
      <c r="V275" s="90"/>
      <c r="W275" s="90"/>
      <c r="X275" s="90"/>
      <c r="Y275" s="90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90"/>
      <c r="V276" s="90"/>
      <c r="W276" s="90"/>
      <c r="X276" s="90"/>
      <c r="Y276" s="90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90"/>
      <c r="V277" s="90"/>
      <c r="W277" s="90"/>
      <c r="X277" s="90"/>
      <c r="Y277" s="90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90"/>
      <c r="V278" s="90"/>
      <c r="W278" s="90"/>
      <c r="X278" s="90"/>
      <c r="Y278" s="90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90"/>
      <c r="V279" s="90"/>
      <c r="W279" s="90"/>
      <c r="X279" s="90"/>
      <c r="Y279" s="90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90"/>
      <c r="V280" s="90"/>
      <c r="W280" s="90"/>
      <c r="X280" s="90"/>
      <c r="Y280" s="90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90"/>
      <c r="V281" s="90"/>
      <c r="W281" s="90"/>
      <c r="X281" s="90"/>
      <c r="Y281" s="90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90"/>
      <c r="V282" s="90"/>
      <c r="W282" s="90"/>
      <c r="X282" s="90"/>
      <c r="Y282" s="90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90"/>
      <c r="V283" s="90"/>
      <c r="W283" s="90"/>
      <c r="X283" s="90"/>
      <c r="Y283" s="90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90"/>
      <c r="V284" s="90"/>
      <c r="W284" s="90"/>
      <c r="X284" s="90"/>
      <c r="Y284" s="90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90"/>
      <c r="V285" s="90"/>
      <c r="W285" s="90"/>
      <c r="X285" s="90"/>
      <c r="Y285" s="90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90"/>
      <c r="V286" s="90"/>
      <c r="W286" s="90"/>
      <c r="X286" s="90"/>
      <c r="Y286" s="90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90"/>
      <c r="V287" s="90"/>
      <c r="W287" s="90"/>
      <c r="X287" s="90"/>
      <c r="Y287" s="90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90"/>
      <c r="V288" s="90"/>
      <c r="W288" s="90"/>
      <c r="X288" s="90"/>
      <c r="Y288" s="90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90"/>
      <c r="V289" s="90"/>
      <c r="W289" s="90"/>
      <c r="X289" s="90"/>
      <c r="Y289" s="90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90"/>
      <c r="V290" s="90"/>
      <c r="W290" s="90"/>
      <c r="X290" s="90"/>
      <c r="Y290" s="90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90"/>
      <c r="V291" s="90"/>
      <c r="W291" s="90"/>
      <c r="X291" s="90"/>
      <c r="Y291" s="90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90"/>
      <c r="V292" s="90"/>
      <c r="W292" s="90"/>
      <c r="X292" s="90"/>
      <c r="Y292" s="90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90"/>
      <c r="V293" s="90"/>
      <c r="W293" s="90"/>
      <c r="X293" s="90"/>
      <c r="Y293" s="90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90"/>
      <c r="V294" s="90"/>
      <c r="W294" s="90"/>
      <c r="X294" s="90"/>
      <c r="Y294" s="90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90"/>
      <c r="V295" s="90"/>
      <c r="W295" s="90"/>
      <c r="X295" s="90"/>
      <c r="Y295" s="90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90"/>
      <c r="V296" s="90"/>
      <c r="W296" s="90"/>
      <c r="X296" s="90"/>
      <c r="Y296" s="90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90"/>
      <c r="V297" s="90"/>
      <c r="W297" s="90"/>
      <c r="X297" s="90"/>
      <c r="Y297" s="90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90"/>
      <c r="V298" s="90"/>
      <c r="W298" s="90"/>
      <c r="X298" s="90"/>
      <c r="Y298" s="90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90"/>
      <c r="V299" s="90"/>
      <c r="W299" s="90"/>
      <c r="X299" s="90"/>
      <c r="Y299" s="90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90"/>
      <c r="V300" s="90"/>
      <c r="W300" s="90"/>
      <c r="X300" s="90"/>
      <c r="Y300" s="90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90"/>
      <c r="V301" s="90"/>
      <c r="W301" s="90"/>
      <c r="X301" s="90"/>
      <c r="Y301" s="90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90"/>
      <c r="V302" s="90"/>
      <c r="W302" s="90"/>
      <c r="X302" s="90"/>
      <c r="Y302" s="90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90"/>
      <c r="V303" s="90"/>
      <c r="W303" s="90"/>
      <c r="X303" s="90"/>
      <c r="Y303" s="90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90"/>
      <c r="V304" s="90"/>
      <c r="W304" s="90"/>
      <c r="X304" s="90"/>
      <c r="Y304" s="90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90"/>
      <c r="V305" s="90"/>
      <c r="W305" s="90"/>
      <c r="X305" s="90"/>
      <c r="Y305" s="90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90"/>
      <c r="V306" s="90"/>
      <c r="W306" s="90"/>
      <c r="X306" s="90"/>
      <c r="Y306" s="90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90"/>
      <c r="V307" s="90"/>
      <c r="W307" s="90"/>
      <c r="X307" s="90"/>
      <c r="Y307" s="90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90"/>
      <c r="V308" s="90"/>
      <c r="W308" s="90"/>
      <c r="X308" s="90"/>
      <c r="Y308" s="90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90"/>
      <c r="V309" s="90"/>
      <c r="W309" s="90"/>
      <c r="X309" s="90"/>
      <c r="Y309" s="90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90"/>
      <c r="V310" s="90"/>
      <c r="W310" s="90"/>
      <c r="X310" s="90"/>
      <c r="Y310" s="90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90"/>
      <c r="V311" s="90"/>
      <c r="W311" s="90"/>
      <c r="X311" s="90"/>
      <c r="Y311" s="90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90"/>
      <c r="V312" s="90"/>
      <c r="W312" s="90"/>
      <c r="X312" s="90"/>
      <c r="Y312" s="90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90"/>
      <c r="V313" s="90"/>
      <c r="W313" s="90"/>
      <c r="X313" s="90"/>
      <c r="Y313" s="90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90"/>
      <c r="V314" s="90"/>
      <c r="W314" s="90"/>
      <c r="X314" s="90"/>
      <c r="Y314" s="90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90"/>
      <c r="V315" s="90"/>
      <c r="W315" s="90"/>
      <c r="X315" s="90"/>
      <c r="Y315" s="90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90"/>
      <c r="V316" s="90"/>
      <c r="W316" s="90"/>
      <c r="X316" s="90"/>
      <c r="Y316" s="90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90"/>
      <c r="V317" s="90"/>
      <c r="W317" s="90"/>
      <c r="X317" s="90"/>
      <c r="Y317" s="90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90"/>
      <c r="V318" s="90"/>
      <c r="W318" s="90"/>
      <c r="X318" s="90"/>
      <c r="Y318" s="90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90"/>
      <c r="V319" s="90"/>
      <c r="W319" s="90"/>
      <c r="X319" s="90"/>
      <c r="Y319" s="90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90"/>
      <c r="V320" s="90"/>
      <c r="W320" s="90"/>
      <c r="X320" s="90"/>
      <c r="Y320" s="90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90"/>
      <c r="V321" s="90"/>
      <c r="W321" s="90"/>
      <c r="X321" s="90"/>
      <c r="Y321" s="90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90"/>
      <c r="V322" s="90"/>
      <c r="W322" s="90"/>
      <c r="X322" s="90"/>
      <c r="Y322" s="90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90"/>
      <c r="V323" s="90"/>
      <c r="W323" s="90"/>
      <c r="X323" s="90"/>
      <c r="Y323" s="90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90"/>
      <c r="V324" s="90"/>
      <c r="W324" s="90"/>
      <c r="X324" s="90"/>
      <c r="Y324" s="90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90"/>
      <c r="V325" s="90"/>
      <c r="W325" s="90"/>
      <c r="X325" s="90"/>
      <c r="Y325" s="90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90"/>
      <c r="V326" s="90"/>
      <c r="W326" s="90"/>
      <c r="X326" s="90"/>
      <c r="Y326" s="90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90"/>
      <c r="V327" s="90"/>
      <c r="W327" s="90"/>
      <c r="X327" s="90"/>
      <c r="Y327" s="90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90"/>
      <c r="V328" s="90"/>
      <c r="W328" s="90"/>
      <c r="X328" s="90"/>
      <c r="Y328" s="90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90"/>
      <c r="V329" s="90"/>
      <c r="W329" s="90"/>
      <c r="X329" s="90"/>
      <c r="Y329" s="90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90"/>
      <c r="V330" s="90"/>
      <c r="W330" s="90"/>
      <c r="X330" s="90"/>
      <c r="Y330" s="90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90"/>
      <c r="V331" s="90"/>
      <c r="W331" s="90"/>
      <c r="X331" s="90"/>
      <c r="Y331" s="90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90"/>
      <c r="V332" s="90"/>
      <c r="W332" s="90"/>
      <c r="X332" s="90"/>
      <c r="Y332" s="90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90"/>
      <c r="V333" s="90"/>
      <c r="W333" s="90"/>
      <c r="X333" s="90"/>
      <c r="Y333" s="90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90"/>
      <c r="V334" s="90"/>
      <c r="W334" s="90"/>
      <c r="X334" s="90"/>
      <c r="Y334" s="90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90"/>
      <c r="V335" s="90"/>
      <c r="W335" s="90"/>
      <c r="X335" s="90"/>
      <c r="Y335" s="90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90"/>
      <c r="V336" s="90"/>
      <c r="W336" s="90"/>
      <c r="X336" s="90"/>
      <c r="Y336" s="90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90"/>
      <c r="V337" s="90"/>
      <c r="W337" s="90"/>
      <c r="X337" s="90"/>
      <c r="Y337" s="90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90"/>
      <c r="V338" s="90"/>
      <c r="W338" s="90"/>
      <c r="X338" s="90"/>
      <c r="Y338" s="90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90"/>
      <c r="V339" s="90"/>
      <c r="W339" s="90"/>
      <c r="X339" s="90"/>
      <c r="Y339" s="90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90"/>
      <c r="V340" s="90"/>
      <c r="W340" s="90"/>
      <c r="X340" s="90"/>
      <c r="Y340" s="90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90"/>
      <c r="V341" s="90"/>
      <c r="W341" s="90"/>
      <c r="X341" s="90"/>
      <c r="Y341" s="90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90"/>
      <c r="V342" s="90"/>
      <c r="W342" s="90"/>
      <c r="X342" s="90"/>
      <c r="Y342" s="90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90"/>
      <c r="V343" s="90"/>
      <c r="W343" s="90"/>
      <c r="X343" s="90"/>
      <c r="Y343" s="90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90"/>
      <c r="V344" s="90"/>
      <c r="W344" s="90"/>
      <c r="X344" s="90"/>
      <c r="Y344" s="90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90"/>
      <c r="V345" s="90"/>
      <c r="W345" s="90"/>
      <c r="X345" s="90"/>
      <c r="Y345" s="90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90"/>
      <c r="V346" s="90"/>
      <c r="W346" s="90"/>
      <c r="X346" s="90"/>
      <c r="Y346" s="90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90"/>
      <c r="V347" s="90"/>
      <c r="W347" s="90"/>
      <c r="X347" s="90"/>
      <c r="Y347" s="90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90"/>
      <c r="V348" s="90"/>
      <c r="W348" s="90"/>
      <c r="X348" s="90"/>
      <c r="Y348" s="90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90"/>
      <c r="V349" s="90"/>
      <c r="W349" s="90"/>
      <c r="X349" s="90"/>
      <c r="Y349" s="90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90"/>
      <c r="V350" s="90"/>
      <c r="W350" s="90"/>
      <c r="X350" s="90"/>
      <c r="Y350" s="90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90"/>
      <c r="V351" s="90"/>
      <c r="W351" s="90"/>
      <c r="X351" s="90"/>
      <c r="Y351" s="90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90"/>
      <c r="V352" s="90"/>
      <c r="W352" s="90"/>
      <c r="X352" s="90"/>
      <c r="Y352" s="90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90"/>
      <c r="V353" s="90"/>
      <c r="W353" s="90"/>
      <c r="X353" s="90"/>
      <c r="Y353" s="90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90"/>
      <c r="V354" s="90"/>
      <c r="W354" s="90"/>
      <c r="X354" s="90"/>
      <c r="Y354" s="90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90"/>
      <c r="V355" s="90"/>
      <c r="W355" s="90"/>
      <c r="X355" s="90"/>
      <c r="Y355" s="90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90"/>
      <c r="V356" s="90"/>
      <c r="W356" s="90"/>
      <c r="X356" s="90"/>
      <c r="Y356" s="90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90"/>
      <c r="V357" s="90"/>
      <c r="W357" s="90"/>
      <c r="X357" s="90"/>
      <c r="Y357" s="90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90"/>
      <c r="V358" s="90"/>
      <c r="W358" s="90"/>
      <c r="X358" s="90"/>
      <c r="Y358" s="90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90"/>
      <c r="V359" s="90"/>
      <c r="W359" s="90"/>
      <c r="X359" s="90"/>
      <c r="Y359" s="90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90"/>
      <c r="V360" s="90"/>
      <c r="W360" s="90"/>
      <c r="X360" s="90"/>
      <c r="Y360" s="90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90"/>
      <c r="V361" s="90"/>
      <c r="W361" s="90"/>
      <c r="X361" s="90"/>
      <c r="Y361" s="90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90"/>
      <c r="V362" s="90"/>
      <c r="W362" s="90"/>
      <c r="X362" s="90"/>
      <c r="Y362" s="90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90"/>
      <c r="V363" s="90"/>
      <c r="W363" s="90"/>
      <c r="X363" s="90"/>
      <c r="Y363" s="90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90"/>
      <c r="V364" s="90"/>
      <c r="W364" s="90"/>
      <c r="X364" s="90"/>
      <c r="Y364" s="90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90"/>
      <c r="V365" s="90"/>
      <c r="W365" s="90"/>
      <c r="X365" s="90"/>
      <c r="Y365" s="90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90"/>
      <c r="V366" s="90"/>
      <c r="W366" s="90"/>
      <c r="X366" s="90"/>
      <c r="Y366" s="90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90"/>
      <c r="V367" s="90"/>
      <c r="W367" s="90"/>
      <c r="X367" s="90"/>
      <c r="Y367" s="90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90"/>
      <c r="V368" s="90"/>
      <c r="W368" s="90"/>
      <c r="X368" s="90"/>
      <c r="Y368" s="90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90"/>
      <c r="V369" s="90"/>
      <c r="W369" s="90"/>
      <c r="X369" s="90"/>
      <c r="Y369" s="90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90"/>
      <c r="V370" s="90"/>
      <c r="W370" s="90"/>
      <c r="X370" s="90"/>
      <c r="Y370" s="90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90"/>
      <c r="V371" s="90"/>
      <c r="W371" s="90"/>
      <c r="X371" s="90"/>
      <c r="Y371" s="90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90"/>
      <c r="V372" s="90"/>
      <c r="W372" s="90"/>
      <c r="X372" s="90"/>
      <c r="Y372" s="90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90"/>
      <c r="V373" s="90"/>
      <c r="W373" s="90"/>
      <c r="X373" s="90"/>
      <c r="Y373" s="90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90"/>
      <c r="V374" s="90"/>
      <c r="W374" s="90"/>
      <c r="X374" s="90"/>
      <c r="Y374" s="90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90"/>
      <c r="V375" s="90"/>
      <c r="W375" s="90"/>
      <c r="X375" s="90"/>
      <c r="Y375" s="90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90"/>
      <c r="V376" s="90"/>
      <c r="W376" s="90"/>
      <c r="X376" s="90"/>
      <c r="Y376" s="90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90"/>
      <c r="V377" s="90"/>
      <c r="W377" s="90"/>
      <c r="X377" s="90"/>
      <c r="Y377" s="90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90"/>
      <c r="V378" s="90"/>
      <c r="W378" s="90"/>
      <c r="X378" s="90"/>
      <c r="Y378" s="90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90"/>
      <c r="V379" s="90"/>
      <c r="W379" s="90"/>
      <c r="X379" s="90"/>
      <c r="Y379" s="90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90"/>
      <c r="V380" s="90"/>
      <c r="W380" s="90"/>
      <c r="X380" s="90"/>
      <c r="Y380" s="90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90"/>
      <c r="V381" s="90"/>
      <c r="W381" s="90"/>
      <c r="X381" s="90"/>
      <c r="Y381" s="90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90"/>
      <c r="V382" s="90"/>
      <c r="W382" s="90"/>
      <c r="X382" s="90"/>
      <c r="Y382" s="90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90"/>
      <c r="V383" s="90"/>
      <c r="W383" s="90"/>
      <c r="X383" s="90"/>
      <c r="Y383" s="90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90"/>
      <c r="V384" s="90"/>
      <c r="W384" s="90"/>
      <c r="X384" s="90"/>
      <c r="Y384" s="90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90"/>
      <c r="V385" s="90"/>
      <c r="W385" s="90"/>
      <c r="X385" s="90"/>
      <c r="Y385" s="90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90"/>
      <c r="V386" s="90"/>
      <c r="W386" s="90"/>
      <c r="X386" s="90"/>
      <c r="Y386" s="90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90"/>
      <c r="V387" s="90"/>
      <c r="W387" s="90"/>
      <c r="X387" s="90"/>
      <c r="Y387" s="90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90"/>
      <c r="V388" s="90"/>
      <c r="W388" s="90"/>
      <c r="X388" s="90"/>
      <c r="Y388" s="90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90"/>
      <c r="V389" s="90"/>
      <c r="W389" s="90"/>
      <c r="X389" s="90"/>
      <c r="Y389" s="90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90"/>
      <c r="V390" s="90"/>
      <c r="W390" s="90"/>
      <c r="X390" s="90"/>
      <c r="Y390" s="90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90"/>
      <c r="V391" s="90"/>
      <c r="W391" s="90"/>
      <c r="X391" s="90"/>
      <c r="Y391" s="90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90"/>
      <c r="V392" s="90"/>
      <c r="W392" s="90"/>
      <c r="X392" s="90"/>
      <c r="Y392" s="90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90"/>
      <c r="V393" s="90"/>
      <c r="W393" s="90"/>
      <c r="X393" s="90"/>
      <c r="Y393" s="90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90"/>
      <c r="V394" s="90"/>
      <c r="W394" s="90"/>
      <c r="X394" s="90"/>
      <c r="Y394" s="90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90"/>
      <c r="V395" s="90"/>
      <c r="W395" s="90"/>
      <c r="X395" s="90"/>
      <c r="Y395" s="90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90"/>
      <c r="V396" s="90"/>
      <c r="W396" s="90"/>
      <c r="X396" s="90"/>
      <c r="Y396" s="90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90"/>
      <c r="V397" s="90"/>
      <c r="W397" s="90"/>
      <c r="X397" s="90"/>
      <c r="Y397" s="90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90"/>
      <c r="V398" s="90"/>
      <c r="W398" s="90"/>
      <c r="X398" s="90"/>
      <c r="Y398" s="90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90"/>
      <c r="V399" s="90"/>
      <c r="W399" s="90"/>
      <c r="X399" s="90"/>
      <c r="Y399" s="90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90"/>
      <c r="V400" s="90"/>
      <c r="W400" s="90"/>
      <c r="X400" s="90"/>
      <c r="Y400" s="90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90"/>
      <c r="V401" s="90"/>
      <c r="W401" s="90"/>
      <c r="X401" s="90"/>
      <c r="Y401" s="90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90"/>
      <c r="V402" s="90"/>
      <c r="W402" s="90"/>
      <c r="X402" s="90"/>
      <c r="Y402" s="90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90"/>
      <c r="V403" s="90"/>
      <c r="W403" s="90"/>
      <c r="X403" s="90"/>
      <c r="Y403" s="90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90"/>
      <c r="V404" s="90"/>
      <c r="W404" s="90"/>
      <c r="X404" s="90"/>
      <c r="Y404" s="90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90"/>
      <c r="V405" s="90"/>
      <c r="W405" s="90"/>
      <c r="X405" s="90"/>
      <c r="Y405" s="90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90"/>
      <c r="V406" s="90"/>
      <c r="W406" s="90"/>
      <c r="X406" s="90"/>
      <c r="Y406" s="90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90"/>
      <c r="V407" s="90"/>
      <c r="W407" s="90"/>
      <c r="X407" s="90"/>
      <c r="Y407" s="90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90"/>
      <c r="V408" s="90"/>
      <c r="W408" s="90"/>
      <c r="X408" s="90"/>
      <c r="Y408" s="90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90"/>
      <c r="V409" s="90"/>
      <c r="W409" s="90"/>
      <c r="X409" s="90"/>
      <c r="Y409" s="90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90"/>
      <c r="V410" s="90"/>
      <c r="W410" s="90"/>
      <c r="X410" s="90"/>
      <c r="Y410" s="90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90"/>
      <c r="V411" s="90"/>
      <c r="W411" s="90"/>
      <c r="X411" s="90"/>
      <c r="Y411" s="90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90"/>
      <c r="V412" s="90"/>
      <c r="W412" s="90"/>
      <c r="X412" s="90"/>
      <c r="Y412" s="90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90"/>
      <c r="V413" s="90"/>
      <c r="W413" s="90"/>
      <c r="X413" s="90"/>
      <c r="Y413" s="90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90"/>
      <c r="V414" s="90"/>
      <c r="W414" s="90"/>
      <c r="X414" s="90"/>
      <c r="Y414" s="90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90"/>
      <c r="V415" s="90"/>
      <c r="W415" s="90"/>
      <c r="X415" s="90"/>
      <c r="Y415" s="90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90"/>
      <c r="V416" s="90"/>
      <c r="W416" s="90"/>
      <c r="X416" s="90"/>
      <c r="Y416" s="90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90"/>
      <c r="V417" s="90"/>
      <c r="W417" s="90"/>
      <c r="X417" s="90"/>
      <c r="Y417" s="90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90"/>
      <c r="V418" s="90"/>
      <c r="W418" s="90"/>
      <c r="X418" s="90"/>
      <c r="Y418" s="90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90"/>
      <c r="V419" s="90"/>
      <c r="W419" s="90"/>
      <c r="X419" s="90"/>
      <c r="Y419" s="90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90"/>
      <c r="V420" s="90"/>
      <c r="W420" s="90"/>
      <c r="X420" s="90"/>
      <c r="Y420" s="90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90"/>
      <c r="V421" s="90"/>
      <c r="W421" s="90"/>
      <c r="X421" s="90"/>
      <c r="Y421" s="90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90"/>
      <c r="V422" s="90"/>
      <c r="W422" s="90"/>
      <c r="X422" s="90"/>
      <c r="Y422" s="90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90"/>
      <c r="V423" s="90"/>
      <c r="W423" s="90"/>
      <c r="X423" s="90"/>
      <c r="Y423" s="90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90"/>
      <c r="V424" s="90"/>
      <c r="W424" s="90"/>
      <c r="X424" s="90"/>
      <c r="Y424" s="90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90"/>
      <c r="V425" s="90"/>
      <c r="W425" s="90"/>
      <c r="X425" s="90"/>
      <c r="Y425" s="90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90"/>
      <c r="V426" s="90"/>
      <c r="W426" s="90"/>
      <c r="X426" s="90"/>
      <c r="Y426" s="90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90"/>
      <c r="V427" s="90"/>
      <c r="W427" s="90"/>
      <c r="X427" s="90"/>
      <c r="Y427" s="90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90"/>
      <c r="V428" s="90"/>
      <c r="W428" s="90"/>
      <c r="X428" s="90"/>
      <c r="Y428" s="90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90"/>
      <c r="V429" s="90"/>
      <c r="W429" s="90"/>
      <c r="X429" s="90"/>
      <c r="Y429" s="90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90"/>
      <c r="V430" s="90"/>
      <c r="W430" s="90"/>
      <c r="X430" s="90"/>
      <c r="Y430" s="90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90"/>
      <c r="V431" s="90"/>
      <c r="W431" s="90"/>
      <c r="X431" s="90"/>
      <c r="Y431" s="90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90"/>
      <c r="V432" s="90"/>
      <c r="W432" s="90"/>
      <c r="X432" s="90"/>
      <c r="Y432" s="90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90"/>
      <c r="V433" s="90"/>
      <c r="W433" s="90"/>
      <c r="X433" s="90"/>
      <c r="Y433" s="90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90"/>
      <c r="V434" s="90"/>
      <c r="W434" s="90"/>
      <c r="X434" s="90"/>
      <c r="Y434" s="90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90"/>
      <c r="V435" s="90"/>
      <c r="W435" s="90"/>
      <c r="X435" s="90"/>
      <c r="Y435" s="90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90"/>
      <c r="V436" s="90"/>
      <c r="W436" s="90"/>
      <c r="X436" s="90"/>
      <c r="Y436" s="90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90"/>
      <c r="V437" s="90"/>
      <c r="W437" s="90"/>
      <c r="X437" s="90"/>
      <c r="Y437" s="90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90"/>
      <c r="V438" s="90"/>
      <c r="W438" s="90"/>
      <c r="X438" s="90"/>
      <c r="Y438" s="90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90"/>
      <c r="V439" s="90"/>
      <c r="W439" s="90"/>
      <c r="X439" s="90"/>
      <c r="Y439" s="90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90"/>
      <c r="V440" s="90"/>
      <c r="W440" s="90"/>
      <c r="X440" s="90"/>
      <c r="Y440" s="90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90"/>
      <c r="V441" s="90"/>
      <c r="W441" s="90"/>
      <c r="X441" s="90"/>
      <c r="Y441" s="90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90"/>
      <c r="V442" s="90"/>
      <c r="W442" s="90"/>
      <c r="X442" s="90"/>
      <c r="Y442" s="90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90"/>
      <c r="V443" s="90"/>
      <c r="W443" s="90"/>
      <c r="X443" s="90"/>
      <c r="Y443" s="90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90"/>
      <c r="V444" s="90"/>
      <c r="W444" s="90"/>
      <c r="X444" s="90"/>
      <c r="Y444" s="90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90"/>
      <c r="V445" s="90"/>
      <c r="W445" s="90"/>
      <c r="X445" s="90"/>
      <c r="Y445" s="90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90"/>
      <c r="V446" s="90"/>
      <c r="W446" s="90"/>
      <c r="X446" s="90"/>
      <c r="Y446" s="90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90"/>
      <c r="V447" s="90"/>
      <c r="W447" s="90"/>
      <c r="X447" s="90"/>
      <c r="Y447" s="90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90"/>
      <c r="V448" s="90"/>
      <c r="W448" s="90"/>
      <c r="X448" s="90"/>
      <c r="Y448" s="90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90"/>
      <c r="V449" s="90"/>
      <c r="W449" s="90"/>
      <c r="X449" s="90"/>
      <c r="Y449" s="90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90"/>
      <c r="V450" s="90"/>
      <c r="W450" s="90"/>
      <c r="X450" s="90"/>
      <c r="Y450" s="90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90"/>
      <c r="V451" s="90"/>
      <c r="W451" s="90"/>
      <c r="X451" s="90"/>
      <c r="Y451" s="90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90"/>
      <c r="V452" s="90"/>
      <c r="W452" s="90"/>
      <c r="X452" s="90"/>
      <c r="Y452" s="90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90"/>
      <c r="V453" s="90"/>
      <c r="W453" s="90"/>
      <c r="X453" s="90"/>
      <c r="Y453" s="90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90"/>
      <c r="V454" s="90"/>
      <c r="W454" s="90"/>
      <c r="X454" s="90"/>
      <c r="Y454" s="90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90"/>
      <c r="V455" s="90"/>
      <c r="W455" s="90"/>
      <c r="X455" s="90"/>
      <c r="Y455" s="90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90"/>
      <c r="V456" s="90"/>
      <c r="W456" s="90"/>
      <c r="X456" s="90"/>
      <c r="Y456" s="90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90"/>
      <c r="V457" s="90"/>
      <c r="W457" s="90"/>
      <c r="X457" s="90"/>
      <c r="Y457" s="90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90"/>
      <c r="V458" s="90"/>
      <c r="W458" s="90"/>
      <c r="X458" s="90"/>
      <c r="Y458" s="90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90"/>
      <c r="V459" s="90"/>
      <c r="W459" s="90"/>
      <c r="X459" s="90"/>
      <c r="Y459" s="90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90"/>
      <c r="V460" s="90"/>
      <c r="W460" s="90"/>
      <c r="X460" s="90"/>
      <c r="Y460" s="90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90"/>
      <c r="V461" s="90"/>
      <c r="W461" s="90"/>
      <c r="X461" s="90"/>
      <c r="Y461" s="90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90"/>
      <c r="V462" s="90"/>
      <c r="W462" s="90"/>
      <c r="X462" s="90"/>
      <c r="Y462" s="90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90"/>
      <c r="V463" s="90"/>
      <c r="W463" s="90"/>
      <c r="X463" s="90"/>
      <c r="Y463" s="90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90"/>
      <c r="V464" s="90"/>
      <c r="W464" s="90"/>
      <c r="X464" s="90"/>
      <c r="Y464" s="90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90"/>
      <c r="V465" s="90"/>
      <c r="W465" s="90"/>
      <c r="X465" s="90"/>
      <c r="Y465" s="90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90"/>
      <c r="V466" s="90"/>
      <c r="W466" s="90"/>
      <c r="X466" s="90"/>
      <c r="Y466" s="90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90"/>
      <c r="V467" s="90"/>
      <c r="W467" s="90"/>
      <c r="X467" s="90"/>
      <c r="Y467" s="90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90"/>
      <c r="V468" s="90"/>
      <c r="W468" s="90"/>
      <c r="X468" s="90"/>
      <c r="Y468" s="90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90"/>
      <c r="V469" s="90"/>
      <c r="W469" s="90"/>
      <c r="X469" s="90"/>
      <c r="Y469" s="90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90"/>
      <c r="V470" s="90"/>
      <c r="W470" s="90"/>
      <c r="X470" s="90"/>
      <c r="Y470" s="90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90"/>
      <c r="V471" s="90"/>
      <c r="W471" s="90"/>
      <c r="X471" s="90"/>
      <c r="Y471" s="90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90"/>
      <c r="V472" s="90"/>
      <c r="W472" s="90"/>
      <c r="X472" s="90"/>
      <c r="Y472" s="90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90"/>
      <c r="V473" s="90"/>
      <c r="W473" s="90"/>
      <c r="X473" s="90"/>
      <c r="Y473" s="90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90"/>
      <c r="V474" s="90"/>
      <c r="W474" s="90"/>
      <c r="X474" s="90"/>
      <c r="Y474" s="90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90"/>
      <c r="V475" s="90"/>
      <c r="W475" s="90"/>
      <c r="X475" s="90"/>
      <c r="Y475" s="90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90"/>
      <c r="V476" s="90"/>
      <c r="W476" s="90"/>
      <c r="X476" s="90"/>
      <c r="Y476" s="90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90"/>
      <c r="V477" s="90"/>
      <c r="W477" s="90"/>
      <c r="X477" s="90"/>
      <c r="Y477" s="90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90"/>
      <c r="V478" s="90"/>
      <c r="W478" s="90"/>
      <c r="X478" s="90"/>
      <c r="Y478" s="90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90"/>
      <c r="V479" s="90"/>
      <c r="W479" s="90"/>
      <c r="X479" s="90"/>
      <c r="Y479" s="90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90"/>
      <c r="V480" s="90"/>
      <c r="W480" s="90"/>
      <c r="X480" s="90"/>
      <c r="Y480" s="90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90"/>
      <c r="V481" s="90"/>
      <c r="W481" s="90"/>
      <c r="X481" s="90"/>
      <c r="Y481" s="90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90"/>
      <c r="V482" s="90"/>
      <c r="W482" s="90"/>
      <c r="X482" s="90"/>
      <c r="Y482" s="90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90"/>
      <c r="V483" s="90"/>
      <c r="W483" s="90"/>
      <c r="X483" s="90"/>
      <c r="Y483" s="90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90"/>
      <c r="V484" s="90"/>
      <c r="W484" s="90"/>
      <c r="X484" s="90"/>
      <c r="Y484" s="90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90"/>
      <c r="V485" s="90"/>
      <c r="W485" s="90"/>
      <c r="X485" s="90"/>
      <c r="Y485" s="90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90"/>
      <c r="V486" s="90"/>
      <c r="W486" s="90"/>
      <c r="X486" s="90"/>
      <c r="Y486" s="90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90"/>
      <c r="V487" s="90"/>
      <c r="W487" s="90"/>
      <c r="X487" s="90"/>
      <c r="Y487" s="90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90"/>
      <c r="V488" s="90"/>
      <c r="W488" s="90"/>
      <c r="X488" s="90"/>
      <c r="Y488" s="90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90"/>
      <c r="V489" s="90"/>
      <c r="W489" s="90"/>
      <c r="X489" s="90"/>
      <c r="Y489" s="90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90"/>
      <c r="V490" s="90"/>
      <c r="W490" s="90"/>
      <c r="X490" s="90"/>
      <c r="Y490" s="90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90"/>
      <c r="V491" s="90"/>
      <c r="W491" s="90"/>
      <c r="X491" s="90"/>
      <c r="Y491" s="90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90"/>
      <c r="V492" s="90"/>
      <c r="W492" s="90"/>
      <c r="X492" s="90"/>
      <c r="Y492" s="90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90"/>
      <c r="V493" s="90"/>
      <c r="W493" s="90"/>
      <c r="X493" s="90"/>
      <c r="Y493" s="90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90"/>
      <c r="V494" s="90"/>
      <c r="W494" s="90"/>
      <c r="X494" s="90"/>
      <c r="Y494" s="90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90"/>
      <c r="V495" s="90"/>
      <c r="W495" s="90"/>
      <c r="X495" s="90"/>
      <c r="Y495" s="90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90"/>
      <c r="V496" s="90"/>
      <c r="W496" s="90"/>
      <c r="X496" s="90"/>
      <c r="Y496" s="90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90"/>
      <c r="V497" s="90"/>
      <c r="W497" s="90"/>
      <c r="X497" s="90"/>
      <c r="Y497" s="90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90"/>
      <c r="V498" s="90"/>
      <c r="W498" s="90"/>
      <c r="X498" s="90"/>
      <c r="Y498" s="90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90"/>
      <c r="V499" s="90"/>
      <c r="W499" s="90"/>
      <c r="X499" s="90"/>
      <c r="Y499" s="90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90"/>
      <c r="V500" s="90"/>
      <c r="W500" s="90"/>
      <c r="X500" s="90"/>
      <c r="Y500" s="90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90"/>
      <c r="V501" s="90"/>
      <c r="W501" s="90"/>
      <c r="X501" s="90"/>
      <c r="Y501" s="90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90"/>
      <c r="V502" s="90"/>
      <c r="W502" s="90"/>
      <c r="X502" s="90"/>
      <c r="Y502" s="90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90"/>
      <c r="V503" s="90"/>
      <c r="W503" s="90"/>
      <c r="X503" s="90"/>
      <c r="Y503" s="90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90"/>
      <c r="V504" s="90"/>
      <c r="W504" s="90"/>
      <c r="X504" s="90"/>
      <c r="Y504" s="90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90"/>
      <c r="V505" s="90"/>
      <c r="W505" s="90"/>
      <c r="X505" s="90"/>
      <c r="Y505" s="90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90"/>
      <c r="V506" s="90"/>
      <c r="W506" s="90"/>
      <c r="X506" s="90"/>
      <c r="Y506" s="90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90"/>
      <c r="V507" s="90"/>
      <c r="W507" s="90"/>
      <c r="X507" s="90"/>
      <c r="Y507" s="90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90"/>
      <c r="V508" s="90"/>
      <c r="W508" s="90"/>
      <c r="X508" s="90"/>
      <c r="Y508" s="90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90"/>
      <c r="V509" s="90"/>
      <c r="W509" s="90"/>
      <c r="X509" s="90"/>
      <c r="Y509" s="90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90"/>
      <c r="V510" s="90"/>
      <c r="W510" s="90"/>
      <c r="X510" s="90"/>
      <c r="Y510" s="90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90"/>
      <c r="V511" s="90"/>
      <c r="W511" s="90"/>
      <c r="X511" s="90"/>
      <c r="Y511" s="90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90"/>
      <c r="V512" s="90"/>
      <c r="W512" s="90"/>
      <c r="X512" s="90"/>
      <c r="Y512" s="90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90"/>
      <c r="V513" s="90"/>
      <c r="W513" s="90"/>
      <c r="X513" s="90"/>
      <c r="Y513" s="90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90"/>
      <c r="V514" s="90"/>
      <c r="W514" s="90"/>
      <c r="X514" s="90"/>
      <c r="Y514" s="90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90"/>
      <c r="V515" s="90"/>
      <c r="W515" s="90"/>
      <c r="X515" s="90"/>
      <c r="Y515" s="90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90"/>
      <c r="V516" s="90"/>
      <c r="W516" s="90"/>
      <c r="X516" s="90"/>
      <c r="Y516" s="90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90"/>
      <c r="V517" s="90"/>
      <c r="W517" s="90"/>
      <c r="X517" s="90"/>
      <c r="Y517" s="90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90"/>
      <c r="V518" s="90"/>
      <c r="W518" s="90"/>
      <c r="X518" s="90"/>
      <c r="Y518" s="90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90"/>
      <c r="V519" s="90"/>
      <c r="W519" s="90"/>
      <c r="X519" s="90"/>
      <c r="Y519" s="90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90"/>
      <c r="V520" s="90"/>
      <c r="W520" s="90"/>
      <c r="X520" s="90"/>
      <c r="Y520" s="90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90"/>
      <c r="V521" s="90"/>
      <c r="W521" s="90"/>
      <c r="X521" s="90"/>
      <c r="Y521" s="90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90"/>
      <c r="V522" s="90"/>
      <c r="W522" s="90"/>
      <c r="X522" s="90"/>
      <c r="Y522" s="90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90"/>
      <c r="V523" s="90"/>
      <c r="W523" s="90"/>
      <c r="X523" s="90"/>
      <c r="Y523" s="90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90"/>
      <c r="V524" s="90"/>
      <c r="W524" s="90"/>
      <c r="X524" s="90"/>
      <c r="Y524" s="90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90"/>
      <c r="V525" s="90"/>
      <c r="W525" s="90"/>
      <c r="X525" s="90"/>
      <c r="Y525" s="90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90"/>
      <c r="V526" s="90"/>
      <c r="W526" s="90"/>
      <c r="X526" s="90"/>
      <c r="Y526" s="90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90"/>
      <c r="V527" s="90"/>
      <c r="W527" s="90"/>
      <c r="X527" s="90"/>
      <c r="Y527" s="90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90"/>
      <c r="V528" s="90"/>
      <c r="W528" s="90"/>
      <c r="X528" s="90"/>
      <c r="Y528" s="90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90"/>
      <c r="V529" s="90"/>
      <c r="W529" s="90"/>
      <c r="X529" s="90"/>
      <c r="Y529" s="90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90"/>
      <c r="V530" s="90"/>
      <c r="W530" s="90"/>
      <c r="X530" s="90"/>
      <c r="Y530" s="90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90"/>
      <c r="V531" s="90"/>
      <c r="W531" s="90"/>
      <c r="X531" s="90"/>
      <c r="Y531" s="90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90"/>
      <c r="V532" s="90"/>
      <c r="W532" s="90"/>
      <c r="X532" s="90"/>
      <c r="Y532" s="90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90"/>
      <c r="V533" s="90"/>
      <c r="W533" s="90"/>
      <c r="X533" s="90"/>
      <c r="Y533" s="90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90"/>
      <c r="V534" s="90"/>
      <c r="W534" s="90"/>
      <c r="X534" s="90"/>
      <c r="Y534" s="90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90"/>
      <c r="V535" s="90"/>
      <c r="W535" s="90"/>
      <c r="X535" s="90"/>
      <c r="Y535" s="90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90"/>
      <c r="V536" s="90"/>
      <c r="W536" s="90"/>
      <c r="X536" s="90"/>
      <c r="Y536" s="90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90"/>
      <c r="V537" s="90"/>
      <c r="W537" s="90"/>
      <c r="X537" s="90"/>
      <c r="Y537" s="90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90"/>
      <c r="V538" s="90"/>
      <c r="W538" s="90"/>
      <c r="X538" s="90"/>
      <c r="Y538" s="90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90"/>
      <c r="V539" s="90"/>
      <c r="W539" s="90"/>
      <c r="X539" s="90"/>
      <c r="Y539" s="90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90"/>
      <c r="V540" s="90"/>
      <c r="W540" s="90"/>
      <c r="X540" s="90"/>
      <c r="Y540" s="90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90"/>
      <c r="V541" s="90"/>
      <c r="W541" s="90"/>
      <c r="X541" s="90"/>
      <c r="Y541" s="90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90"/>
      <c r="V542" s="90"/>
      <c r="W542" s="90"/>
      <c r="X542" s="90"/>
      <c r="Y542" s="90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90"/>
      <c r="V543" s="90"/>
      <c r="W543" s="90"/>
      <c r="X543" s="90"/>
      <c r="Y543" s="90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90"/>
      <c r="V544" s="90"/>
      <c r="W544" s="90"/>
      <c r="X544" s="90"/>
      <c r="Y544" s="90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90"/>
      <c r="V545" s="90"/>
      <c r="W545" s="90"/>
      <c r="X545" s="90"/>
      <c r="Y545" s="90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90"/>
      <c r="V546" s="90"/>
      <c r="W546" s="90"/>
      <c r="X546" s="90"/>
      <c r="Y546" s="90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90"/>
      <c r="V547" s="90"/>
      <c r="W547" s="90"/>
      <c r="X547" s="90"/>
      <c r="Y547" s="90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90"/>
      <c r="V548" s="90"/>
      <c r="W548" s="90"/>
      <c r="X548" s="90"/>
      <c r="Y548" s="90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90"/>
      <c r="V549" s="90"/>
      <c r="W549" s="90"/>
      <c r="X549" s="90"/>
      <c r="Y549" s="90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90"/>
      <c r="V550" s="90"/>
      <c r="W550" s="90"/>
      <c r="X550" s="90"/>
      <c r="Y550" s="90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90"/>
      <c r="V551" s="90"/>
      <c r="W551" s="90"/>
      <c r="X551" s="90"/>
      <c r="Y551" s="90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90"/>
      <c r="V552" s="90"/>
      <c r="W552" s="90"/>
      <c r="X552" s="90"/>
      <c r="Y552" s="90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90"/>
      <c r="V553" s="90"/>
      <c r="W553" s="90"/>
      <c r="X553" s="90"/>
      <c r="Y553" s="90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90"/>
      <c r="V554" s="90"/>
      <c r="W554" s="90"/>
      <c r="X554" s="90"/>
      <c r="Y554" s="90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90"/>
      <c r="V555" s="90"/>
      <c r="W555" s="90"/>
      <c r="X555" s="90"/>
      <c r="Y555" s="90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90"/>
      <c r="V556" s="90"/>
      <c r="W556" s="90"/>
      <c r="X556" s="90"/>
      <c r="Y556" s="90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90"/>
      <c r="V557" s="90"/>
      <c r="W557" s="90"/>
      <c r="X557" s="90"/>
      <c r="Y557" s="90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90"/>
      <c r="V558" s="90"/>
      <c r="W558" s="90"/>
      <c r="X558" s="90"/>
      <c r="Y558" s="90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90"/>
      <c r="V559" s="90"/>
      <c r="W559" s="90"/>
      <c r="X559" s="90"/>
      <c r="Y559" s="90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90"/>
      <c r="V560" s="90"/>
      <c r="W560" s="90"/>
      <c r="X560" s="90"/>
      <c r="Y560" s="90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90"/>
      <c r="V561" s="90"/>
      <c r="W561" s="90"/>
      <c r="X561" s="90"/>
      <c r="Y561" s="90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90"/>
      <c r="V562" s="90"/>
      <c r="W562" s="90"/>
      <c r="X562" s="90"/>
      <c r="Y562" s="90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90"/>
      <c r="V563" s="90"/>
      <c r="W563" s="90"/>
      <c r="X563" s="90"/>
      <c r="Y563" s="90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90"/>
      <c r="V564" s="90"/>
      <c r="W564" s="90"/>
      <c r="X564" s="90"/>
      <c r="Y564" s="90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90"/>
      <c r="V565" s="90"/>
      <c r="W565" s="90"/>
      <c r="X565" s="90"/>
      <c r="Y565" s="90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90"/>
      <c r="V566" s="90"/>
      <c r="W566" s="90"/>
      <c r="X566" s="90"/>
      <c r="Y566" s="90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90"/>
      <c r="V567" s="90"/>
      <c r="W567" s="90"/>
      <c r="X567" s="90"/>
      <c r="Y567" s="90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90"/>
      <c r="V568" s="90"/>
      <c r="W568" s="90"/>
      <c r="X568" s="90"/>
      <c r="Y568" s="90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90"/>
      <c r="V569" s="90"/>
      <c r="W569" s="90"/>
      <c r="X569" s="90"/>
      <c r="Y569" s="90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90"/>
      <c r="V570" s="90"/>
      <c r="W570" s="90"/>
      <c r="X570" s="90"/>
      <c r="Y570" s="90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90"/>
      <c r="V571" s="90"/>
      <c r="W571" s="90"/>
      <c r="X571" s="90"/>
      <c r="Y571" s="90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90"/>
      <c r="V572" s="90"/>
      <c r="W572" s="90"/>
      <c r="X572" s="90"/>
      <c r="Y572" s="90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90"/>
      <c r="V573" s="90"/>
      <c r="W573" s="90"/>
      <c r="X573" s="90"/>
      <c r="Y573" s="90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90"/>
      <c r="V574" s="90"/>
      <c r="W574" s="90"/>
      <c r="X574" s="90"/>
      <c r="Y574" s="90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90"/>
      <c r="V575" s="90"/>
      <c r="W575" s="90"/>
      <c r="X575" s="90"/>
      <c r="Y575" s="90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90"/>
      <c r="V576" s="90"/>
      <c r="W576" s="90"/>
      <c r="X576" s="90"/>
      <c r="Y576" s="90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90"/>
      <c r="V577" s="90"/>
      <c r="W577" s="90"/>
      <c r="X577" s="90"/>
      <c r="Y577" s="90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90"/>
      <c r="V578" s="90"/>
      <c r="W578" s="90"/>
      <c r="X578" s="90"/>
      <c r="Y578" s="90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90"/>
      <c r="V579" s="90"/>
      <c r="W579" s="90"/>
      <c r="X579" s="90"/>
      <c r="Y579" s="90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90"/>
      <c r="V580" s="90"/>
      <c r="W580" s="90"/>
      <c r="X580" s="90"/>
      <c r="Y580" s="90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90"/>
      <c r="V581" s="90"/>
      <c r="W581" s="90"/>
      <c r="X581" s="90"/>
      <c r="Y581" s="90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90"/>
      <c r="V582" s="90"/>
      <c r="W582" s="90"/>
      <c r="X582" s="90"/>
      <c r="Y582" s="90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90"/>
      <c r="V583" s="90"/>
      <c r="W583" s="90"/>
      <c r="X583" s="90"/>
      <c r="Y583" s="90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90"/>
      <c r="V584" s="90"/>
      <c r="W584" s="90"/>
      <c r="X584" s="90"/>
      <c r="Y584" s="90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90"/>
      <c r="V585" s="90"/>
      <c r="W585" s="90"/>
      <c r="X585" s="90"/>
      <c r="Y585" s="90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90"/>
      <c r="V586" s="90"/>
      <c r="W586" s="90"/>
      <c r="X586" s="90"/>
      <c r="Y586" s="90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90"/>
      <c r="V587" s="90"/>
      <c r="W587" s="90"/>
      <c r="X587" s="90"/>
      <c r="Y587" s="90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90"/>
      <c r="V588" s="90"/>
      <c r="W588" s="90"/>
      <c r="X588" s="90"/>
      <c r="Y588" s="90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90"/>
      <c r="V589" s="90"/>
      <c r="W589" s="90"/>
      <c r="X589" s="90"/>
      <c r="Y589" s="90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90"/>
      <c r="V590" s="90"/>
      <c r="W590" s="90"/>
      <c r="X590" s="90"/>
      <c r="Y590" s="90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90"/>
      <c r="V591" s="90"/>
      <c r="W591" s="90"/>
      <c r="X591" s="90"/>
      <c r="Y591" s="90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90"/>
      <c r="V592" s="90"/>
      <c r="W592" s="90"/>
      <c r="X592" s="90"/>
      <c r="Y592" s="90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90"/>
      <c r="V593" s="90"/>
      <c r="W593" s="90"/>
      <c r="X593" s="90"/>
      <c r="Y593" s="90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90"/>
      <c r="V594" s="90"/>
      <c r="W594" s="90"/>
      <c r="X594" s="90"/>
      <c r="Y594" s="90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90"/>
      <c r="V595" s="90"/>
      <c r="W595" s="90"/>
      <c r="X595" s="90"/>
      <c r="Y595" s="90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90"/>
      <c r="V596" s="90"/>
      <c r="W596" s="90"/>
      <c r="X596" s="90"/>
      <c r="Y596" s="90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90"/>
      <c r="V597" s="90"/>
      <c r="W597" s="90"/>
      <c r="X597" s="90"/>
      <c r="Y597" s="90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90"/>
      <c r="V598" s="90"/>
      <c r="W598" s="90"/>
      <c r="X598" s="90"/>
      <c r="Y598" s="90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90"/>
      <c r="V599" s="90"/>
      <c r="W599" s="90"/>
      <c r="X599" s="90"/>
      <c r="Y599" s="90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90"/>
      <c r="V600" s="90"/>
      <c r="W600" s="90"/>
      <c r="X600" s="90"/>
      <c r="Y600" s="90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90"/>
      <c r="V601" s="90"/>
      <c r="W601" s="90"/>
      <c r="X601" s="90"/>
      <c r="Y601" s="90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90"/>
      <c r="V602" s="90"/>
      <c r="W602" s="90"/>
      <c r="X602" s="90"/>
      <c r="Y602" s="90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90"/>
      <c r="V603" s="90"/>
      <c r="W603" s="90"/>
      <c r="X603" s="90"/>
      <c r="Y603" s="90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90"/>
      <c r="V604" s="90"/>
      <c r="W604" s="90"/>
      <c r="X604" s="90"/>
      <c r="Y604" s="90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90"/>
      <c r="V605" s="90"/>
      <c r="W605" s="90"/>
      <c r="X605" s="90"/>
      <c r="Y605" s="90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90"/>
      <c r="V606" s="90"/>
      <c r="W606" s="90"/>
      <c r="X606" s="90"/>
      <c r="Y606" s="90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90"/>
      <c r="V607" s="90"/>
      <c r="W607" s="90"/>
      <c r="X607" s="90"/>
      <c r="Y607" s="90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90"/>
      <c r="V608" s="90"/>
      <c r="W608" s="90"/>
      <c r="X608" s="90"/>
      <c r="Y608" s="90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90"/>
      <c r="V609" s="90"/>
      <c r="W609" s="90"/>
      <c r="X609" s="90"/>
      <c r="Y609" s="90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90"/>
      <c r="V610" s="90"/>
      <c r="W610" s="90"/>
      <c r="X610" s="90"/>
      <c r="Y610" s="90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90"/>
      <c r="V611" s="90"/>
      <c r="W611" s="90"/>
      <c r="X611" s="90"/>
      <c r="Y611" s="90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90"/>
      <c r="V612" s="90"/>
      <c r="W612" s="90"/>
      <c r="X612" s="90"/>
      <c r="Y612" s="90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90"/>
      <c r="V613" s="90"/>
      <c r="W613" s="90"/>
      <c r="X613" s="90"/>
      <c r="Y613" s="90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90"/>
      <c r="V614" s="90"/>
      <c r="W614" s="90"/>
      <c r="X614" s="90"/>
      <c r="Y614" s="90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90"/>
      <c r="V615" s="90"/>
      <c r="W615" s="90"/>
      <c r="X615" s="90"/>
      <c r="Y615" s="90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90"/>
      <c r="V616" s="90"/>
      <c r="W616" s="90"/>
      <c r="X616" s="90"/>
      <c r="Y616" s="90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90"/>
      <c r="V617" s="90"/>
      <c r="W617" s="90"/>
      <c r="X617" s="90"/>
      <c r="Y617" s="90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90"/>
      <c r="V618" s="90"/>
      <c r="W618" s="90"/>
      <c r="X618" s="90"/>
      <c r="Y618" s="90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90"/>
      <c r="V619" s="90"/>
      <c r="W619" s="90"/>
      <c r="X619" s="90"/>
      <c r="Y619" s="90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90"/>
      <c r="V620" s="90"/>
      <c r="W620" s="90"/>
      <c r="X620" s="90"/>
      <c r="Y620" s="90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90"/>
      <c r="V621" s="90"/>
      <c r="W621" s="90"/>
      <c r="X621" s="90"/>
      <c r="Y621" s="90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90"/>
      <c r="V622" s="90"/>
      <c r="W622" s="90"/>
      <c r="X622" s="90"/>
      <c r="Y622" s="90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90"/>
      <c r="V623" s="90"/>
      <c r="W623" s="90"/>
      <c r="X623" s="90"/>
      <c r="Y623" s="90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90"/>
      <c r="V624" s="90"/>
      <c r="W624" s="90"/>
      <c r="X624" s="90"/>
      <c r="Y624" s="90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90"/>
      <c r="V625" s="90"/>
      <c r="W625" s="90"/>
      <c r="X625" s="90"/>
      <c r="Y625" s="90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90"/>
      <c r="V626" s="90"/>
      <c r="W626" s="90"/>
      <c r="X626" s="90"/>
      <c r="Y626" s="90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90"/>
      <c r="V627" s="90"/>
      <c r="W627" s="90"/>
      <c r="X627" s="90"/>
      <c r="Y627" s="90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90"/>
      <c r="V628" s="90"/>
      <c r="W628" s="90"/>
      <c r="X628" s="90"/>
      <c r="Y628" s="90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90"/>
      <c r="V629" s="90"/>
      <c r="W629" s="90"/>
      <c r="X629" s="90"/>
      <c r="Y629" s="90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90"/>
      <c r="V630" s="90"/>
      <c r="W630" s="90"/>
      <c r="X630" s="90"/>
      <c r="Y630" s="90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90"/>
      <c r="V631" s="90"/>
      <c r="W631" s="90"/>
      <c r="X631" s="90"/>
      <c r="Y631" s="90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90"/>
      <c r="V632" s="90"/>
      <c r="W632" s="90"/>
      <c r="X632" s="90"/>
      <c r="Y632" s="90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90"/>
      <c r="V633" s="90"/>
      <c r="W633" s="90"/>
      <c r="X633" s="90"/>
      <c r="Y633" s="90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90"/>
      <c r="V634" s="90"/>
      <c r="W634" s="90"/>
      <c r="X634" s="90"/>
      <c r="Y634" s="90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90"/>
      <c r="V635" s="90"/>
      <c r="W635" s="90"/>
      <c r="X635" s="90"/>
      <c r="Y635" s="90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90"/>
      <c r="V636" s="90"/>
      <c r="W636" s="90"/>
      <c r="X636" s="90"/>
      <c r="Y636" s="90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90"/>
      <c r="V637" s="90"/>
      <c r="W637" s="90"/>
      <c r="X637" s="90"/>
      <c r="Y637" s="90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90"/>
      <c r="V638" s="90"/>
      <c r="W638" s="90"/>
      <c r="X638" s="90"/>
      <c r="Y638" s="90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90"/>
      <c r="V639" s="90"/>
      <c r="W639" s="90"/>
      <c r="X639" s="90"/>
      <c r="Y639" s="90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90"/>
      <c r="V640" s="90"/>
      <c r="W640" s="90"/>
      <c r="X640" s="90"/>
      <c r="Y640" s="90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90"/>
      <c r="V641" s="90"/>
      <c r="W641" s="90"/>
      <c r="X641" s="90"/>
      <c r="Y641" s="90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90"/>
      <c r="V642" s="90"/>
      <c r="W642" s="90"/>
      <c r="X642" s="90"/>
      <c r="Y642" s="90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90"/>
      <c r="V643" s="90"/>
      <c r="W643" s="90"/>
      <c r="X643" s="90"/>
      <c r="Y643" s="90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90"/>
      <c r="V644" s="90"/>
      <c r="W644" s="90"/>
      <c r="X644" s="90"/>
      <c r="Y644" s="90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90"/>
      <c r="V645" s="90"/>
      <c r="W645" s="90"/>
      <c r="X645" s="90"/>
      <c r="Y645" s="90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90"/>
      <c r="V646" s="90"/>
      <c r="W646" s="90"/>
      <c r="X646" s="90"/>
      <c r="Y646" s="90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90"/>
      <c r="V647" s="90"/>
      <c r="W647" s="90"/>
      <c r="X647" s="90"/>
      <c r="Y647" s="90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90"/>
      <c r="V648" s="90"/>
      <c r="W648" s="90"/>
      <c r="X648" s="90"/>
      <c r="Y648" s="90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90"/>
      <c r="V649" s="90"/>
      <c r="W649" s="90"/>
      <c r="X649" s="90"/>
      <c r="Y649" s="90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90"/>
      <c r="V650" s="90"/>
      <c r="W650" s="90"/>
      <c r="X650" s="90"/>
      <c r="Y650" s="90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90"/>
      <c r="V651" s="90"/>
      <c r="W651" s="90"/>
      <c r="X651" s="90"/>
      <c r="Y651" s="90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90"/>
      <c r="V652" s="90"/>
      <c r="W652" s="90"/>
      <c r="X652" s="90"/>
      <c r="Y652" s="90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90"/>
      <c r="V653" s="90"/>
      <c r="W653" s="90"/>
      <c r="X653" s="90"/>
      <c r="Y653" s="90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90"/>
      <c r="V654" s="90"/>
      <c r="W654" s="90"/>
      <c r="X654" s="90"/>
      <c r="Y654" s="90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90"/>
      <c r="V655" s="90"/>
      <c r="W655" s="90"/>
      <c r="X655" s="90"/>
      <c r="Y655" s="90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90"/>
      <c r="V656" s="90"/>
      <c r="W656" s="90"/>
      <c r="X656" s="90"/>
      <c r="Y656" s="90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90"/>
      <c r="V657" s="90"/>
      <c r="W657" s="90"/>
      <c r="X657" s="90"/>
      <c r="Y657" s="90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90"/>
      <c r="V658" s="90"/>
      <c r="W658" s="90"/>
      <c r="X658" s="90"/>
      <c r="Y658" s="90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90"/>
      <c r="V659" s="90"/>
      <c r="W659" s="90"/>
      <c r="X659" s="90"/>
      <c r="Y659" s="90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90"/>
      <c r="V660" s="90"/>
      <c r="W660" s="90"/>
      <c r="X660" s="90"/>
      <c r="Y660" s="90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90"/>
      <c r="V661" s="90"/>
      <c r="W661" s="90"/>
      <c r="X661" s="90"/>
      <c r="Y661" s="90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90"/>
      <c r="V662" s="90"/>
      <c r="W662" s="90"/>
      <c r="X662" s="90"/>
      <c r="Y662" s="90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90"/>
      <c r="V663" s="90"/>
      <c r="W663" s="90"/>
      <c r="X663" s="90"/>
      <c r="Y663" s="90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90"/>
      <c r="V664" s="90"/>
      <c r="W664" s="90"/>
      <c r="X664" s="90"/>
      <c r="Y664" s="90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90"/>
      <c r="V665" s="90"/>
      <c r="W665" s="90"/>
      <c r="X665" s="90"/>
      <c r="Y665" s="90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90"/>
      <c r="V666" s="90"/>
      <c r="W666" s="90"/>
      <c r="X666" s="90"/>
      <c r="Y666" s="90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90"/>
      <c r="V667" s="90"/>
      <c r="W667" s="90"/>
      <c r="X667" s="90"/>
      <c r="Y667" s="90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90"/>
      <c r="V668" s="90"/>
      <c r="W668" s="90"/>
      <c r="X668" s="90"/>
      <c r="Y668" s="90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90"/>
      <c r="V669" s="90"/>
      <c r="W669" s="90"/>
      <c r="X669" s="90"/>
      <c r="Y669" s="90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90"/>
      <c r="V670" s="90"/>
      <c r="W670" s="90"/>
      <c r="X670" s="90"/>
      <c r="Y670" s="90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90"/>
      <c r="V671" s="90"/>
      <c r="W671" s="90"/>
      <c r="X671" s="90"/>
      <c r="Y671" s="90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90"/>
      <c r="V672" s="90"/>
      <c r="W672" s="90"/>
      <c r="X672" s="90"/>
      <c r="Y672" s="90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90"/>
      <c r="V673" s="90"/>
      <c r="W673" s="90"/>
      <c r="X673" s="90"/>
      <c r="Y673" s="90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90"/>
      <c r="V674" s="90"/>
      <c r="W674" s="90"/>
      <c r="X674" s="90"/>
      <c r="Y674" s="90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90"/>
      <c r="V675" s="90"/>
      <c r="W675" s="90"/>
      <c r="X675" s="90"/>
      <c r="Y675" s="90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90"/>
      <c r="V676" s="90"/>
      <c r="W676" s="90"/>
      <c r="X676" s="90"/>
      <c r="Y676" s="90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90"/>
      <c r="V677" s="90"/>
      <c r="W677" s="90"/>
      <c r="X677" s="90"/>
      <c r="Y677" s="90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90"/>
      <c r="V678" s="90"/>
      <c r="W678" s="90"/>
      <c r="X678" s="90"/>
      <c r="Y678" s="90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90"/>
      <c r="V679" s="90"/>
      <c r="W679" s="90"/>
      <c r="X679" s="90"/>
      <c r="Y679" s="90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90"/>
      <c r="V680" s="90"/>
      <c r="W680" s="90"/>
      <c r="X680" s="90"/>
      <c r="Y680" s="90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90"/>
      <c r="V681" s="90"/>
      <c r="W681" s="90"/>
      <c r="X681" s="90"/>
      <c r="Y681" s="90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90"/>
      <c r="V682" s="90"/>
      <c r="W682" s="90"/>
      <c r="X682" s="90"/>
      <c r="Y682" s="90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90"/>
      <c r="V683" s="90"/>
      <c r="W683" s="90"/>
      <c r="X683" s="90"/>
      <c r="Y683" s="90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90"/>
      <c r="V684" s="90"/>
      <c r="W684" s="90"/>
      <c r="X684" s="90"/>
      <c r="Y684" s="90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90"/>
      <c r="V685" s="90"/>
      <c r="W685" s="90"/>
      <c r="X685" s="90"/>
      <c r="Y685" s="90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90"/>
      <c r="V686" s="90"/>
      <c r="W686" s="90"/>
      <c r="X686" s="90"/>
      <c r="Y686" s="90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90"/>
      <c r="V687" s="90"/>
      <c r="W687" s="90"/>
      <c r="X687" s="90"/>
      <c r="Y687" s="90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90"/>
      <c r="V688" s="90"/>
      <c r="W688" s="90"/>
      <c r="X688" s="90"/>
      <c r="Y688" s="90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90"/>
      <c r="V689" s="90"/>
      <c r="W689" s="90"/>
      <c r="X689" s="90"/>
      <c r="Y689" s="90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90"/>
      <c r="V690" s="90"/>
      <c r="W690" s="90"/>
      <c r="X690" s="90"/>
      <c r="Y690" s="90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90"/>
      <c r="V691" s="90"/>
      <c r="W691" s="90"/>
      <c r="X691" s="90"/>
      <c r="Y691" s="90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90"/>
      <c r="V692" s="90"/>
      <c r="W692" s="90"/>
      <c r="X692" s="90"/>
      <c r="Y692" s="90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90"/>
      <c r="V693" s="90"/>
      <c r="W693" s="90"/>
      <c r="X693" s="90"/>
      <c r="Y693" s="90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90"/>
      <c r="V694" s="90"/>
      <c r="W694" s="90"/>
      <c r="X694" s="90"/>
      <c r="Y694" s="90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90"/>
      <c r="V695" s="90"/>
      <c r="W695" s="90"/>
      <c r="X695" s="90"/>
      <c r="Y695" s="90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90"/>
      <c r="V696" s="90"/>
      <c r="W696" s="90"/>
      <c r="X696" s="90"/>
      <c r="Y696" s="90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90"/>
      <c r="V697" s="90"/>
      <c r="W697" s="90"/>
      <c r="X697" s="90"/>
      <c r="Y697" s="90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90"/>
      <c r="V698" s="90"/>
      <c r="W698" s="90"/>
      <c r="X698" s="90"/>
      <c r="Y698" s="90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90"/>
      <c r="V699" s="90"/>
      <c r="W699" s="90"/>
      <c r="X699" s="90"/>
      <c r="Y699" s="90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90"/>
      <c r="V700" s="90"/>
      <c r="W700" s="90"/>
      <c r="X700" s="90"/>
      <c r="Y700" s="90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90"/>
      <c r="V701" s="90"/>
      <c r="W701" s="90"/>
      <c r="X701" s="90"/>
      <c r="Y701" s="90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90"/>
      <c r="V702" s="90"/>
      <c r="W702" s="90"/>
      <c r="X702" s="90"/>
      <c r="Y702" s="90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90"/>
      <c r="V703" s="90"/>
      <c r="W703" s="90"/>
      <c r="X703" s="90"/>
      <c r="Y703" s="90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90"/>
      <c r="V704" s="90"/>
      <c r="W704" s="90"/>
      <c r="X704" s="90"/>
      <c r="Y704" s="90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90"/>
      <c r="V705" s="90"/>
      <c r="W705" s="90"/>
      <c r="X705" s="90"/>
      <c r="Y705" s="90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90"/>
      <c r="V706" s="90"/>
      <c r="W706" s="90"/>
      <c r="X706" s="90"/>
      <c r="Y706" s="90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90"/>
      <c r="V707" s="90"/>
      <c r="W707" s="90"/>
      <c r="X707" s="90"/>
      <c r="Y707" s="90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90"/>
      <c r="V708" s="90"/>
      <c r="W708" s="90"/>
      <c r="X708" s="90"/>
      <c r="Y708" s="90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90"/>
      <c r="V709" s="90"/>
      <c r="W709" s="90"/>
      <c r="X709" s="90"/>
      <c r="Y709" s="90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90"/>
      <c r="V710" s="90"/>
      <c r="W710" s="90"/>
      <c r="X710" s="90"/>
      <c r="Y710" s="90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90"/>
      <c r="V711" s="90"/>
      <c r="W711" s="90"/>
      <c r="X711" s="90"/>
      <c r="Y711" s="90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90"/>
      <c r="V712" s="90"/>
      <c r="W712" s="90"/>
      <c r="X712" s="90"/>
      <c r="Y712" s="90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90"/>
      <c r="V713" s="90"/>
      <c r="W713" s="90"/>
      <c r="X713" s="90"/>
      <c r="Y713" s="90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90"/>
      <c r="V714" s="90"/>
      <c r="W714" s="90"/>
      <c r="X714" s="90"/>
      <c r="Y714" s="90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90"/>
      <c r="V715" s="90"/>
      <c r="W715" s="90"/>
      <c r="X715" s="90"/>
      <c r="Y715" s="90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90"/>
      <c r="V716" s="90"/>
      <c r="W716" s="90"/>
      <c r="X716" s="90"/>
      <c r="Y716" s="90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90"/>
      <c r="V717" s="90"/>
      <c r="W717" s="90"/>
      <c r="X717" s="90"/>
      <c r="Y717" s="90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90"/>
      <c r="V718" s="90"/>
      <c r="W718" s="90"/>
      <c r="X718" s="90"/>
      <c r="Y718" s="90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90"/>
      <c r="V719" s="90"/>
      <c r="W719" s="90"/>
      <c r="X719" s="90"/>
      <c r="Y719" s="90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90"/>
      <c r="V720" s="90"/>
      <c r="W720" s="90"/>
      <c r="X720" s="90"/>
      <c r="Y720" s="90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90"/>
      <c r="V721" s="90"/>
      <c r="W721" s="90"/>
      <c r="X721" s="90"/>
      <c r="Y721" s="90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90"/>
      <c r="V722" s="90"/>
      <c r="W722" s="90"/>
      <c r="X722" s="90"/>
      <c r="Y722" s="90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90"/>
      <c r="V723" s="90"/>
      <c r="W723" s="90"/>
      <c r="X723" s="90"/>
      <c r="Y723" s="90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90"/>
      <c r="V724" s="90"/>
      <c r="W724" s="90"/>
      <c r="X724" s="90"/>
      <c r="Y724" s="90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90"/>
      <c r="V725" s="90"/>
      <c r="W725" s="90"/>
      <c r="X725" s="90"/>
      <c r="Y725" s="90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90"/>
      <c r="V726" s="90"/>
      <c r="W726" s="90"/>
      <c r="X726" s="90"/>
      <c r="Y726" s="90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90"/>
      <c r="V727" s="90"/>
      <c r="W727" s="90"/>
      <c r="X727" s="90"/>
      <c r="Y727" s="90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90"/>
      <c r="V728" s="90"/>
      <c r="W728" s="90"/>
      <c r="X728" s="90"/>
      <c r="Y728" s="90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90"/>
      <c r="V729" s="90"/>
      <c r="W729" s="90"/>
      <c r="X729" s="90"/>
      <c r="Y729" s="90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90"/>
      <c r="V730" s="90"/>
      <c r="W730" s="90"/>
      <c r="X730" s="90"/>
      <c r="Y730" s="90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90"/>
      <c r="V731" s="90"/>
      <c r="W731" s="90"/>
      <c r="X731" s="90"/>
      <c r="Y731" s="90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90"/>
      <c r="V732" s="90"/>
      <c r="W732" s="90"/>
      <c r="X732" s="90"/>
      <c r="Y732" s="90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90"/>
      <c r="V733" s="90"/>
      <c r="W733" s="90"/>
      <c r="X733" s="90"/>
      <c r="Y733" s="90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90"/>
      <c r="V734" s="90"/>
      <c r="W734" s="90"/>
      <c r="X734" s="90"/>
      <c r="Y734" s="90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90"/>
      <c r="V735" s="90"/>
      <c r="W735" s="90"/>
      <c r="X735" s="90"/>
      <c r="Y735" s="90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90"/>
      <c r="V736" s="90"/>
      <c r="W736" s="90"/>
      <c r="X736" s="90"/>
      <c r="Y736" s="90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90"/>
      <c r="V737" s="90"/>
      <c r="W737" s="90"/>
      <c r="X737" s="90"/>
      <c r="Y737" s="90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90"/>
      <c r="V738" s="90"/>
      <c r="W738" s="90"/>
      <c r="X738" s="90"/>
      <c r="Y738" s="90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90"/>
      <c r="V739" s="90"/>
      <c r="W739" s="90"/>
      <c r="X739" s="90"/>
      <c r="Y739" s="90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90"/>
      <c r="V740" s="90"/>
      <c r="W740" s="90"/>
      <c r="X740" s="90"/>
      <c r="Y740" s="90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90"/>
      <c r="V741" s="90"/>
      <c r="W741" s="90"/>
      <c r="X741" s="90"/>
      <c r="Y741" s="90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90"/>
      <c r="V742" s="90"/>
      <c r="W742" s="90"/>
      <c r="X742" s="90"/>
      <c r="Y742" s="90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90"/>
      <c r="V743" s="90"/>
      <c r="W743" s="90"/>
      <c r="X743" s="90"/>
      <c r="Y743" s="90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90"/>
      <c r="V744" s="90"/>
      <c r="W744" s="90"/>
      <c r="X744" s="90"/>
      <c r="Y744" s="90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90"/>
      <c r="V745" s="90"/>
      <c r="W745" s="90"/>
      <c r="X745" s="90"/>
      <c r="Y745" s="90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90"/>
      <c r="V746" s="90"/>
      <c r="W746" s="90"/>
      <c r="X746" s="90"/>
      <c r="Y746" s="90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90"/>
      <c r="V747" s="90"/>
      <c r="W747" s="90"/>
      <c r="X747" s="90"/>
      <c r="Y747" s="90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90"/>
      <c r="V748" s="90"/>
      <c r="W748" s="90"/>
      <c r="X748" s="90"/>
      <c r="Y748" s="90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90"/>
      <c r="V749" s="90"/>
      <c r="W749" s="90"/>
      <c r="X749" s="90"/>
      <c r="Y749" s="90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90"/>
      <c r="V750" s="90"/>
      <c r="W750" s="90"/>
      <c r="X750" s="90"/>
      <c r="Y750" s="90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90"/>
      <c r="V751" s="90"/>
      <c r="W751" s="90"/>
      <c r="X751" s="90"/>
      <c r="Y751" s="90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90"/>
      <c r="V752" s="90"/>
      <c r="W752" s="90"/>
      <c r="X752" s="90"/>
      <c r="Y752" s="90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90"/>
      <c r="V753" s="90"/>
      <c r="W753" s="90"/>
      <c r="X753" s="90"/>
      <c r="Y753" s="90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90"/>
      <c r="V754" s="90"/>
      <c r="W754" s="90"/>
      <c r="X754" s="90"/>
      <c r="Y754" s="90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90"/>
      <c r="V755" s="90"/>
      <c r="W755" s="90"/>
      <c r="X755" s="90"/>
      <c r="Y755" s="90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90"/>
      <c r="V756" s="90"/>
      <c r="W756" s="90"/>
      <c r="X756" s="90"/>
      <c r="Y756" s="90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90"/>
      <c r="V757" s="90"/>
      <c r="W757" s="90"/>
      <c r="X757" s="90"/>
      <c r="Y757" s="90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90"/>
      <c r="V758" s="90"/>
      <c r="W758" s="90"/>
      <c r="X758" s="90"/>
      <c r="Y758" s="90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90"/>
      <c r="V759" s="90"/>
      <c r="W759" s="90"/>
      <c r="X759" s="90"/>
      <c r="Y759" s="90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90"/>
      <c r="V760" s="90"/>
      <c r="W760" s="90"/>
      <c r="X760" s="90"/>
      <c r="Y760" s="90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90"/>
      <c r="V761" s="90"/>
      <c r="W761" s="90"/>
      <c r="X761" s="90"/>
      <c r="Y761" s="90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90"/>
      <c r="V762" s="90"/>
      <c r="W762" s="90"/>
      <c r="X762" s="90"/>
      <c r="Y762" s="90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90"/>
      <c r="V763" s="90"/>
      <c r="W763" s="90"/>
      <c r="X763" s="90"/>
      <c r="Y763" s="90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90"/>
      <c r="V764" s="90"/>
      <c r="W764" s="90"/>
      <c r="X764" s="90"/>
      <c r="Y764" s="90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90"/>
      <c r="V765" s="90"/>
      <c r="W765" s="90"/>
      <c r="X765" s="90"/>
      <c r="Y765" s="90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90"/>
      <c r="V766" s="90"/>
      <c r="W766" s="90"/>
      <c r="X766" s="90"/>
      <c r="Y766" s="90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90"/>
      <c r="V767" s="90"/>
      <c r="W767" s="90"/>
      <c r="X767" s="90"/>
      <c r="Y767" s="90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90"/>
      <c r="V768" s="90"/>
      <c r="W768" s="90"/>
      <c r="X768" s="90"/>
      <c r="Y768" s="90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90"/>
      <c r="V769" s="90"/>
      <c r="W769" s="90"/>
      <c r="X769" s="90"/>
      <c r="Y769" s="90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90"/>
      <c r="V770" s="90"/>
      <c r="W770" s="90"/>
      <c r="X770" s="90"/>
      <c r="Y770" s="90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90"/>
      <c r="V771" s="90"/>
      <c r="W771" s="90"/>
      <c r="X771" s="90"/>
      <c r="Y771" s="90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90"/>
      <c r="V772" s="90"/>
      <c r="W772" s="90"/>
      <c r="X772" s="90"/>
      <c r="Y772" s="90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90"/>
      <c r="V773" s="90"/>
      <c r="W773" s="90"/>
      <c r="X773" s="90"/>
      <c r="Y773" s="90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90"/>
      <c r="V774" s="90"/>
      <c r="W774" s="90"/>
      <c r="X774" s="90"/>
      <c r="Y774" s="90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90"/>
      <c r="V775" s="90"/>
      <c r="W775" s="90"/>
      <c r="X775" s="90"/>
      <c r="Y775" s="90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90"/>
      <c r="V776" s="90"/>
      <c r="W776" s="90"/>
      <c r="X776" s="90"/>
      <c r="Y776" s="90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90"/>
      <c r="V777" s="90"/>
      <c r="W777" s="90"/>
      <c r="X777" s="90"/>
      <c r="Y777" s="90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90"/>
      <c r="V778" s="90"/>
      <c r="W778" s="90"/>
      <c r="X778" s="90"/>
      <c r="Y778" s="90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90"/>
      <c r="V779" s="90"/>
      <c r="W779" s="90"/>
      <c r="X779" s="90"/>
      <c r="Y779" s="90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90"/>
      <c r="V780" s="90"/>
      <c r="W780" s="90"/>
      <c r="X780" s="90"/>
      <c r="Y780" s="90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90"/>
      <c r="V781" s="90"/>
      <c r="W781" s="90"/>
      <c r="X781" s="90"/>
      <c r="Y781" s="90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90"/>
      <c r="V782" s="90"/>
      <c r="W782" s="90"/>
      <c r="X782" s="90"/>
      <c r="Y782" s="90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90"/>
      <c r="V783" s="90"/>
      <c r="W783" s="90"/>
      <c r="X783" s="90"/>
      <c r="Y783" s="90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90"/>
      <c r="V784" s="90"/>
      <c r="W784" s="90"/>
      <c r="X784" s="90"/>
      <c r="Y784" s="90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90"/>
      <c r="V785" s="90"/>
      <c r="W785" s="90"/>
      <c r="X785" s="90"/>
      <c r="Y785" s="90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90"/>
      <c r="V786" s="90"/>
      <c r="W786" s="90"/>
      <c r="X786" s="90"/>
      <c r="Y786" s="90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90"/>
      <c r="V787" s="90"/>
      <c r="W787" s="90"/>
      <c r="X787" s="90"/>
      <c r="Y787" s="90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90"/>
      <c r="V788" s="90"/>
      <c r="W788" s="90"/>
      <c r="X788" s="90"/>
      <c r="Y788" s="90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90"/>
      <c r="V789" s="90"/>
      <c r="W789" s="90"/>
      <c r="X789" s="90"/>
      <c r="Y789" s="90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90"/>
      <c r="V790" s="90"/>
      <c r="W790" s="90"/>
      <c r="X790" s="90"/>
      <c r="Y790" s="90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90"/>
      <c r="V791" s="90"/>
      <c r="W791" s="90"/>
      <c r="X791" s="90"/>
      <c r="Y791" s="90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90"/>
      <c r="V792" s="90"/>
      <c r="W792" s="90"/>
      <c r="X792" s="90"/>
      <c r="Y792" s="90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90"/>
      <c r="V793" s="90"/>
      <c r="W793" s="90"/>
      <c r="X793" s="90"/>
      <c r="Y793" s="90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90"/>
      <c r="V794" s="90"/>
      <c r="W794" s="90"/>
      <c r="X794" s="90"/>
      <c r="Y794" s="90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90"/>
      <c r="V795" s="90"/>
      <c r="W795" s="90"/>
      <c r="X795" s="90"/>
      <c r="Y795" s="90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90"/>
      <c r="V796" s="90"/>
      <c r="W796" s="90"/>
      <c r="X796" s="90"/>
      <c r="Y796" s="90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90"/>
      <c r="V797" s="90"/>
      <c r="W797" s="90"/>
      <c r="X797" s="90"/>
      <c r="Y797" s="90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90"/>
      <c r="V798" s="90"/>
      <c r="W798" s="90"/>
      <c r="X798" s="90"/>
      <c r="Y798" s="90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90"/>
      <c r="V799" s="90"/>
      <c r="W799" s="90"/>
      <c r="X799" s="90"/>
      <c r="Y799" s="90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90"/>
      <c r="V800" s="90"/>
      <c r="W800" s="90"/>
      <c r="X800" s="90"/>
      <c r="Y800" s="90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90"/>
      <c r="V801" s="90"/>
      <c r="W801" s="90"/>
      <c r="X801" s="90"/>
      <c r="Y801" s="90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90"/>
      <c r="V802" s="90"/>
      <c r="W802" s="90"/>
      <c r="X802" s="90"/>
      <c r="Y802" s="90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90"/>
      <c r="V803" s="90"/>
      <c r="W803" s="90"/>
      <c r="X803" s="90"/>
      <c r="Y803" s="90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90"/>
      <c r="V804" s="90"/>
      <c r="W804" s="90"/>
      <c r="X804" s="90"/>
      <c r="Y804" s="90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90"/>
      <c r="V805" s="90"/>
      <c r="W805" s="90"/>
      <c r="X805" s="90"/>
      <c r="Y805" s="90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90"/>
      <c r="V806" s="90"/>
      <c r="W806" s="90"/>
      <c r="X806" s="90"/>
      <c r="Y806" s="90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90"/>
      <c r="V807" s="90"/>
      <c r="W807" s="90"/>
      <c r="X807" s="90"/>
      <c r="Y807" s="90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90"/>
      <c r="V808" s="90"/>
      <c r="W808" s="90"/>
      <c r="X808" s="90"/>
      <c r="Y808" s="90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90"/>
      <c r="V809" s="90"/>
      <c r="W809" s="90"/>
      <c r="X809" s="90"/>
      <c r="Y809" s="90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90"/>
      <c r="V810" s="90"/>
      <c r="W810" s="90"/>
      <c r="X810" s="90"/>
      <c r="Y810" s="90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90"/>
      <c r="V811" s="90"/>
      <c r="W811" s="90"/>
      <c r="X811" s="90"/>
      <c r="Y811" s="90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90"/>
      <c r="V812" s="90"/>
      <c r="W812" s="90"/>
      <c r="X812" s="90"/>
      <c r="Y812" s="90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90"/>
      <c r="V813" s="90"/>
      <c r="W813" s="90"/>
      <c r="X813" s="90"/>
      <c r="Y813" s="90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90"/>
      <c r="V814" s="90"/>
      <c r="W814" s="90"/>
      <c r="X814" s="90"/>
      <c r="Y814" s="90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90"/>
      <c r="V815" s="90"/>
      <c r="W815" s="90"/>
      <c r="X815" s="90"/>
      <c r="Y815" s="90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90"/>
      <c r="V816" s="90"/>
      <c r="W816" s="90"/>
      <c r="X816" s="90"/>
      <c r="Y816" s="90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90"/>
      <c r="V817" s="90"/>
      <c r="W817" s="90"/>
      <c r="X817" s="90"/>
      <c r="Y817" s="90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90"/>
      <c r="V818" s="90"/>
      <c r="W818" s="90"/>
      <c r="X818" s="90"/>
      <c r="Y818" s="90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90"/>
      <c r="V819" s="90"/>
      <c r="W819" s="90"/>
      <c r="X819" s="90"/>
      <c r="Y819" s="90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90"/>
      <c r="V820" s="90"/>
      <c r="W820" s="90"/>
      <c r="X820" s="90"/>
      <c r="Y820" s="90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90"/>
      <c r="V821" s="90"/>
      <c r="W821" s="90"/>
      <c r="X821" s="90"/>
      <c r="Y821" s="90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90"/>
      <c r="V822" s="90"/>
      <c r="W822" s="90"/>
      <c r="X822" s="90"/>
      <c r="Y822" s="90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90"/>
      <c r="V823" s="90"/>
      <c r="W823" s="90"/>
      <c r="X823" s="90"/>
      <c r="Y823" s="90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90"/>
      <c r="V824" s="90"/>
      <c r="W824" s="90"/>
      <c r="X824" s="90"/>
      <c r="Y824" s="90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90"/>
      <c r="V825" s="90"/>
      <c r="W825" s="90"/>
      <c r="X825" s="90"/>
      <c r="Y825" s="90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90"/>
      <c r="V826" s="90"/>
      <c r="W826" s="90"/>
      <c r="X826" s="90"/>
      <c r="Y826" s="90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90"/>
      <c r="V827" s="90"/>
      <c r="W827" s="90"/>
      <c r="X827" s="90"/>
      <c r="Y827" s="90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90"/>
      <c r="V828" s="90"/>
      <c r="W828" s="90"/>
      <c r="X828" s="90"/>
      <c r="Y828" s="90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90"/>
      <c r="V829" s="90"/>
      <c r="W829" s="90"/>
      <c r="X829" s="90"/>
      <c r="Y829" s="90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90"/>
      <c r="V830" s="90"/>
      <c r="W830" s="90"/>
      <c r="X830" s="90"/>
      <c r="Y830" s="90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90"/>
      <c r="V831" s="90"/>
      <c r="W831" s="90"/>
      <c r="X831" s="90"/>
      <c r="Y831" s="90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90"/>
      <c r="V832" s="90"/>
      <c r="W832" s="90"/>
      <c r="X832" s="90"/>
      <c r="Y832" s="90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90"/>
      <c r="V833" s="90"/>
      <c r="W833" s="90"/>
      <c r="X833" s="90"/>
      <c r="Y833" s="90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90"/>
      <c r="V834" s="90"/>
      <c r="W834" s="90"/>
      <c r="X834" s="90"/>
      <c r="Y834" s="90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90"/>
      <c r="V835" s="90"/>
      <c r="W835" s="90"/>
      <c r="X835" s="90"/>
      <c r="Y835" s="90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90"/>
      <c r="V836" s="90"/>
      <c r="W836" s="90"/>
      <c r="X836" s="90"/>
      <c r="Y836" s="90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90"/>
      <c r="V837" s="90"/>
      <c r="W837" s="90"/>
      <c r="X837" s="90"/>
      <c r="Y837" s="90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90"/>
      <c r="V838" s="90"/>
      <c r="W838" s="90"/>
      <c r="X838" s="90"/>
      <c r="Y838" s="90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90"/>
      <c r="V839" s="90"/>
      <c r="W839" s="90"/>
      <c r="X839" s="90"/>
      <c r="Y839" s="90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90"/>
      <c r="V840" s="90"/>
      <c r="W840" s="90"/>
      <c r="X840" s="90"/>
      <c r="Y840" s="90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90"/>
      <c r="V841" s="90"/>
      <c r="W841" s="90"/>
      <c r="X841" s="90"/>
      <c r="Y841" s="90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90"/>
      <c r="V842" s="90"/>
      <c r="W842" s="90"/>
      <c r="X842" s="90"/>
      <c r="Y842" s="90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90"/>
      <c r="V843" s="90"/>
      <c r="W843" s="90"/>
      <c r="X843" s="90"/>
      <c r="Y843" s="90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90"/>
      <c r="V844" s="90"/>
      <c r="W844" s="90"/>
      <c r="X844" s="90"/>
      <c r="Y844" s="90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90"/>
      <c r="V845" s="90"/>
      <c r="W845" s="90"/>
      <c r="X845" s="90"/>
      <c r="Y845" s="90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90"/>
      <c r="V846" s="90"/>
      <c r="W846" s="90"/>
      <c r="X846" s="90"/>
      <c r="Y846" s="90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90"/>
      <c r="V847" s="90"/>
      <c r="W847" s="90"/>
      <c r="X847" s="90"/>
      <c r="Y847" s="90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90"/>
      <c r="V848" s="90"/>
      <c r="W848" s="90"/>
      <c r="X848" s="90"/>
      <c r="Y848" s="90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90"/>
      <c r="V849" s="90"/>
      <c r="W849" s="90"/>
      <c r="X849" s="90"/>
      <c r="Y849" s="90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90"/>
      <c r="V850" s="90"/>
      <c r="W850" s="90"/>
      <c r="X850" s="90"/>
      <c r="Y850" s="90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90"/>
      <c r="V851" s="90"/>
      <c r="W851" s="90"/>
      <c r="X851" s="90"/>
      <c r="Y851" s="90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90"/>
      <c r="V852" s="90"/>
      <c r="W852" s="90"/>
      <c r="X852" s="90"/>
      <c r="Y852" s="90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90"/>
      <c r="V853" s="90"/>
      <c r="W853" s="90"/>
      <c r="X853" s="90"/>
      <c r="Y853" s="90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90"/>
      <c r="V854" s="90"/>
      <c r="W854" s="90"/>
      <c r="X854" s="90"/>
      <c r="Y854" s="90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90"/>
      <c r="V855" s="90"/>
      <c r="W855" s="90"/>
      <c r="X855" s="90"/>
      <c r="Y855" s="90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90"/>
      <c r="V856" s="90"/>
      <c r="W856" s="90"/>
      <c r="X856" s="90"/>
      <c r="Y856" s="90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90"/>
      <c r="V857" s="90"/>
      <c r="W857" s="90"/>
      <c r="X857" s="90"/>
      <c r="Y857" s="90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90"/>
      <c r="V858" s="90"/>
      <c r="W858" s="90"/>
      <c r="X858" s="90"/>
      <c r="Y858" s="90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90"/>
      <c r="V859" s="90"/>
      <c r="W859" s="90"/>
      <c r="X859" s="90"/>
      <c r="Y859" s="90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90"/>
      <c r="V860" s="90"/>
      <c r="W860" s="90"/>
      <c r="X860" s="90"/>
      <c r="Y860" s="90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90"/>
      <c r="V861" s="90"/>
      <c r="W861" s="90"/>
      <c r="X861" s="90"/>
      <c r="Y861" s="90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90"/>
      <c r="V862" s="90"/>
      <c r="W862" s="90"/>
      <c r="X862" s="90"/>
      <c r="Y862" s="90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90"/>
      <c r="V863" s="90"/>
      <c r="W863" s="90"/>
      <c r="X863" s="90"/>
      <c r="Y863" s="90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90"/>
      <c r="V864" s="90"/>
      <c r="W864" s="90"/>
      <c r="X864" s="90"/>
      <c r="Y864" s="90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90"/>
      <c r="V865" s="90"/>
      <c r="W865" s="90"/>
      <c r="X865" s="90"/>
      <c r="Y865" s="90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90"/>
      <c r="V866" s="90"/>
      <c r="W866" s="90"/>
      <c r="X866" s="90"/>
      <c r="Y866" s="90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90"/>
      <c r="V867" s="90"/>
      <c r="W867" s="90"/>
      <c r="X867" s="90"/>
      <c r="Y867" s="90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90"/>
      <c r="V868" s="90"/>
      <c r="W868" s="90"/>
      <c r="X868" s="90"/>
      <c r="Y868" s="90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90"/>
      <c r="V869" s="90"/>
      <c r="W869" s="90"/>
      <c r="X869" s="90"/>
      <c r="Y869" s="90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90"/>
      <c r="V870" s="90"/>
      <c r="W870" s="90"/>
      <c r="X870" s="90"/>
      <c r="Y870" s="90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90"/>
      <c r="V871" s="90"/>
      <c r="W871" s="90"/>
      <c r="X871" s="90"/>
      <c r="Y871" s="90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90"/>
      <c r="V872" s="90"/>
      <c r="W872" s="90"/>
      <c r="X872" s="90"/>
      <c r="Y872" s="90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90"/>
      <c r="V873" s="90"/>
      <c r="W873" s="90"/>
      <c r="X873" s="90"/>
      <c r="Y873" s="90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90"/>
      <c r="V874" s="90"/>
      <c r="W874" s="90"/>
      <c r="X874" s="90"/>
      <c r="Y874" s="90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90"/>
      <c r="V875" s="90"/>
      <c r="W875" s="90"/>
      <c r="X875" s="90"/>
      <c r="Y875" s="90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90"/>
      <c r="V876" s="90"/>
      <c r="W876" s="90"/>
      <c r="X876" s="90"/>
      <c r="Y876" s="90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90"/>
      <c r="V877" s="90"/>
      <c r="W877" s="90"/>
      <c r="X877" s="90"/>
      <c r="Y877" s="90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90"/>
      <c r="V878" s="90"/>
      <c r="W878" s="90"/>
      <c r="X878" s="90"/>
      <c r="Y878" s="90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90"/>
      <c r="V879" s="90"/>
      <c r="W879" s="90"/>
      <c r="X879" s="90"/>
      <c r="Y879" s="90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90"/>
      <c r="V880" s="90"/>
      <c r="W880" s="90"/>
      <c r="X880" s="90"/>
      <c r="Y880" s="90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90"/>
      <c r="V881" s="90"/>
      <c r="W881" s="90"/>
      <c r="X881" s="90"/>
      <c r="Y881" s="90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90"/>
      <c r="V882" s="90"/>
      <c r="W882" s="90"/>
      <c r="X882" s="90"/>
      <c r="Y882" s="90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90"/>
      <c r="V883" s="90"/>
      <c r="W883" s="90"/>
      <c r="X883" s="90"/>
      <c r="Y883" s="90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90"/>
      <c r="V884" s="90"/>
      <c r="W884" s="90"/>
      <c r="X884" s="90"/>
      <c r="Y884" s="90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90"/>
      <c r="V885" s="90"/>
      <c r="W885" s="90"/>
      <c r="X885" s="90"/>
      <c r="Y885" s="90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90"/>
      <c r="V886" s="90"/>
      <c r="W886" s="90"/>
      <c r="X886" s="90"/>
      <c r="Y886" s="90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90"/>
      <c r="V887" s="90"/>
      <c r="W887" s="90"/>
      <c r="X887" s="90"/>
      <c r="Y887" s="90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90"/>
      <c r="V888" s="90"/>
      <c r="W888" s="90"/>
      <c r="X888" s="90"/>
      <c r="Y888" s="90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90"/>
      <c r="V889" s="90"/>
      <c r="W889" s="90"/>
      <c r="X889" s="90"/>
      <c r="Y889" s="90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90"/>
      <c r="V890" s="90"/>
      <c r="W890" s="90"/>
      <c r="X890" s="90"/>
      <c r="Y890" s="90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90"/>
      <c r="V891" s="90"/>
      <c r="W891" s="90"/>
      <c r="X891" s="90"/>
      <c r="Y891" s="90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90"/>
      <c r="V892" s="90"/>
      <c r="W892" s="90"/>
      <c r="X892" s="90"/>
      <c r="Y892" s="90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90"/>
      <c r="V893" s="90"/>
      <c r="W893" s="90"/>
      <c r="X893" s="90"/>
      <c r="Y893" s="90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90"/>
      <c r="V894" s="90"/>
      <c r="W894" s="90"/>
      <c r="X894" s="90"/>
      <c r="Y894" s="90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90"/>
      <c r="V895" s="90"/>
      <c r="W895" s="90"/>
      <c r="X895" s="90"/>
      <c r="Y895" s="90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90"/>
      <c r="V896" s="90"/>
      <c r="W896" s="90"/>
      <c r="X896" s="90"/>
      <c r="Y896" s="90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90"/>
      <c r="V897" s="90"/>
      <c r="W897" s="90"/>
      <c r="X897" s="90"/>
      <c r="Y897" s="90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90"/>
      <c r="V898" s="90"/>
      <c r="W898" s="90"/>
      <c r="X898" s="90"/>
      <c r="Y898" s="90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90"/>
      <c r="V899" s="90"/>
      <c r="W899" s="90"/>
      <c r="X899" s="90"/>
      <c r="Y899" s="90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90"/>
      <c r="V900" s="90"/>
      <c r="W900" s="90"/>
      <c r="X900" s="90"/>
      <c r="Y900" s="90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90"/>
      <c r="V901" s="90"/>
      <c r="W901" s="90"/>
      <c r="X901" s="90"/>
      <c r="Y901" s="90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90"/>
      <c r="V902" s="90"/>
      <c r="W902" s="90"/>
      <c r="X902" s="90"/>
      <c r="Y902" s="90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90"/>
      <c r="V903" s="90"/>
      <c r="W903" s="90"/>
      <c r="X903" s="90"/>
      <c r="Y903" s="90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90"/>
      <c r="V904" s="90"/>
      <c r="W904" s="90"/>
      <c r="X904" s="90"/>
      <c r="Y904" s="90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90"/>
      <c r="V905" s="90"/>
      <c r="W905" s="90"/>
      <c r="X905" s="90"/>
      <c r="Y905" s="90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90"/>
      <c r="V906" s="90"/>
      <c r="W906" s="90"/>
      <c r="X906" s="90"/>
      <c r="Y906" s="90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90"/>
      <c r="V907" s="90"/>
      <c r="W907" s="90"/>
      <c r="X907" s="90"/>
      <c r="Y907" s="90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90"/>
      <c r="V908" s="90"/>
      <c r="W908" s="90"/>
      <c r="X908" s="90"/>
      <c r="Y908" s="90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90"/>
      <c r="V909" s="90"/>
      <c r="W909" s="90"/>
      <c r="X909" s="90"/>
      <c r="Y909" s="90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90"/>
      <c r="V910" s="90"/>
      <c r="W910" s="90"/>
      <c r="X910" s="90"/>
      <c r="Y910" s="90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90"/>
      <c r="V911" s="90"/>
      <c r="W911" s="90"/>
      <c r="X911" s="90"/>
      <c r="Y911" s="90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90"/>
      <c r="V912" s="90"/>
      <c r="W912" s="90"/>
      <c r="X912" s="90"/>
      <c r="Y912" s="90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90"/>
      <c r="V913" s="90"/>
      <c r="W913" s="90"/>
      <c r="X913" s="90"/>
      <c r="Y913" s="90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90"/>
      <c r="V914" s="90"/>
      <c r="W914" s="90"/>
      <c r="X914" s="90"/>
      <c r="Y914" s="90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90"/>
      <c r="V915" s="90"/>
      <c r="W915" s="90"/>
      <c r="X915" s="90"/>
      <c r="Y915" s="90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90"/>
      <c r="V916" s="90"/>
      <c r="W916" s="90"/>
      <c r="X916" s="90"/>
      <c r="Y916" s="90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90"/>
      <c r="V917" s="90"/>
      <c r="W917" s="90"/>
      <c r="X917" s="90"/>
      <c r="Y917" s="90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90"/>
      <c r="V918" s="90"/>
      <c r="W918" s="90"/>
      <c r="X918" s="90"/>
      <c r="Y918" s="90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90"/>
      <c r="V919" s="90"/>
      <c r="W919" s="90"/>
      <c r="X919" s="90"/>
      <c r="Y919" s="90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90"/>
      <c r="V920" s="90"/>
      <c r="W920" s="90"/>
      <c r="X920" s="90"/>
      <c r="Y920" s="90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90"/>
      <c r="V921" s="90"/>
      <c r="W921" s="90"/>
      <c r="X921" s="90"/>
      <c r="Y921" s="90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90"/>
      <c r="V922" s="90"/>
      <c r="W922" s="90"/>
      <c r="X922" s="90"/>
      <c r="Y922" s="90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90"/>
      <c r="V923" s="90"/>
      <c r="W923" s="90"/>
      <c r="X923" s="90"/>
      <c r="Y923" s="90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90"/>
      <c r="V924" s="90"/>
      <c r="W924" s="90"/>
      <c r="X924" s="90"/>
      <c r="Y924" s="90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90"/>
      <c r="V925" s="90"/>
      <c r="W925" s="90"/>
      <c r="X925" s="90"/>
      <c r="Y925" s="90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90"/>
      <c r="V926" s="90"/>
      <c r="W926" s="90"/>
      <c r="X926" s="90"/>
      <c r="Y926" s="90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90"/>
      <c r="V927" s="90"/>
      <c r="W927" s="90"/>
      <c r="X927" s="90"/>
      <c r="Y927" s="90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90"/>
      <c r="V928" s="90"/>
      <c r="W928" s="90"/>
      <c r="X928" s="90"/>
      <c r="Y928" s="90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90"/>
      <c r="V929" s="90"/>
      <c r="W929" s="90"/>
      <c r="X929" s="90"/>
      <c r="Y929" s="90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90"/>
      <c r="V930" s="90"/>
      <c r="W930" s="90"/>
      <c r="X930" s="90"/>
      <c r="Y930" s="90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90"/>
      <c r="V931" s="90"/>
      <c r="W931" s="90"/>
      <c r="X931" s="90"/>
      <c r="Y931" s="90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90"/>
      <c r="V932" s="90"/>
      <c r="W932" s="90"/>
      <c r="X932" s="90"/>
      <c r="Y932" s="90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90"/>
      <c r="V933" s="90"/>
      <c r="W933" s="90"/>
      <c r="X933" s="90"/>
      <c r="Y933" s="90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90"/>
      <c r="V934" s="90"/>
      <c r="W934" s="90"/>
      <c r="X934" s="90"/>
      <c r="Y934" s="90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90"/>
      <c r="V935" s="90"/>
      <c r="W935" s="90"/>
      <c r="X935" s="90"/>
      <c r="Y935" s="90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90"/>
      <c r="V936" s="90"/>
      <c r="W936" s="90"/>
      <c r="X936" s="90"/>
      <c r="Y936" s="90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90"/>
      <c r="V937" s="90"/>
      <c r="W937" s="90"/>
      <c r="X937" s="90"/>
      <c r="Y937" s="90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90"/>
      <c r="V938" s="90"/>
      <c r="W938" s="90"/>
      <c r="X938" s="90"/>
      <c r="Y938" s="90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90"/>
      <c r="V939" s="90"/>
      <c r="W939" s="90"/>
      <c r="X939" s="90"/>
      <c r="Y939" s="90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90"/>
      <c r="V940" s="90"/>
      <c r="W940" s="90"/>
      <c r="X940" s="90"/>
      <c r="Y940" s="90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90"/>
      <c r="V941" s="90"/>
      <c r="W941" s="90"/>
      <c r="X941" s="90"/>
      <c r="Y941" s="90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90"/>
      <c r="V942" s="90"/>
      <c r="W942" s="90"/>
      <c r="X942" s="90"/>
      <c r="Y942" s="90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90"/>
      <c r="V943" s="90"/>
      <c r="W943" s="90"/>
      <c r="X943" s="90"/>
      <c r="Y943" s="90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90"/>
      <c r="V944" s="90"/>
      <c r="W944" s="90"/>
      <c r="X944" s="90"/>
      <c r="Y944" s="90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90"/>
      <c r="V945" s="90"/>
      <c r="W945" s="90"/>
      <c r="X945" s="90"/>
      <c r="Y945" s="90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90"/>
      <c r="V946" s="90"/>
      <c r="W946" s="90"/>
      <c r="X946" s="90"/>
      <c r="Y946" s="90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90"/>
      <c r="V947" s="90"/>
      <c r="W947" s="90"/>
      <c r="X947" s="90"/>
      <c r="Y947" s="90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90"/>
      <c r="V948" s="90"/>
      <c r="W948" s="90"/>
      <c r="X948" s="90"/>
      <c r="Y948" s="90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90"/>
      <c r="V949" s="90"/>
      <c r="W949" s="90"/>
      <c r="X949" s="90"/>
      <c r="Y949" s="90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90"/>
      <c r="V950" s="90"/>
      <c r="W950" s="90"/>
      <c r="X950" s="90"/>
      <c r="Y950" s="90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90"/>
      <c r="V951" s="90"/>
      <c r="W951" s="90"/>
      <c r="X951" s="90"/>
      <c r="Y951" s="90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90"/>
      <c r="V952" s="90"/>
      <c r="W952" s="90"/>
      <c r="X952" s="90"/>
      <c r="Y952" s="90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90"/>
      <c r="V953" s="90"/>
      <c r="W953" s="90"/>
      <c r="X953" s="90"/>
      <c r="Y953" s="90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90"/>
      <c r="V954" s="90"/>
      <c r="W954" s="90"/>
      <c r="X954" s="90"/>
      <c r="Y954" s="90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90"/>
      <c r="V955" s="90"/>
      <c r="W955" s="90"/>
      <c r="X955" s="90"/>
      <c r="Y955" s="90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90"/>
      <c r="V956" s="90"/>
      <c r="W956" s="90"/>
      <c r="X956" s="90"/>
      <c r="Y956" s="90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90"/>
      <c r="V957" s="90"/>
      <c r="W957" s="90"/>
      <c r="X957" s="90"/>
      <c r="Y957" s="90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90"/>
      <c r="V958" s="90"/>
      <c r="W958" s="90"/>
      <c r="X958" s="90"/>
      <c r="Y958" s="90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90"/>
      <c r="V959" s="90"/>
      <c r="W959" s="90"/>
      <c r="X959" s="90"/>
      <c r="Y959" s="90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90"/>
      <c r="V960" s="90"/>
      <c r="W960" s="90"/>
      <c r="X960" s="90"/>
      <c r="Y960" s="90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90"/>
      <c r="V961" s="90"/>
      <c r="W961" s="90"/>
      <c r="X961" s="90"/>
      <c r="Y961" s="90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90"/>
      <c r="V962" s="90"/>
      <c r="W962" s="90"/>
      <c r="X962" s="90"/>
      <c r="Y962" s="90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90"/>
      <c r="V963" s="90"/>
      <c r="W963" s="90"/>
      <c r="X963" s="90"/>
      <c r="Y963" s="90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90"/>
      <c r="V964" s="90"/>
      <c r="W964" s="90"/>
      <c r="X964" s="90"/>
      <c r="Y964" s="90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90"/>
      <c r="V965" s="90"/>
      <c r="W965" s="90"/>
      <c r="X965" s="90"/>
      <c r="Y965" s="90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90"/>
      <c r="V966" s="90"/>
      <c r="W966" s="90"/>
      <c r="X966" s="90"/>
      <c r="Y966" s="90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90"/>
      <c r="V967" s="90"/>
      <c r="W967" s="90"/>
      <c r="X967" s="90"/>
      <c r="Y967" s="90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90"/>
      <c r="V968" s="90"/>
      <c r="W968" s="90"/>
      <c r="X968" s="90"/>
      <c r="Y968" s="90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90"/>
      <c r="V969" s="90"/>
      <c r="W969" s="90"/>
      <c r="X969" s="90"/>
      <c r="Y969" s="90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90"/>
      <c r="V970" s="90"/>
      <c r="W970" s="90"/>
      <c r="X970" s="90"/>
      <c r="Y970" s="90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90"/>
      <c r="V971" s="90"/>
      <c r="W971" s="90"/>
      <c r="X971" s="90"/>
      <c r="Y971" s="90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90"/>
      <c r="V972" s="90"/>
      <c r="W972" s="90"/>
      <c r="X972" s="90"/>
      <c r="Y972" s="90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90"/>
      <c r="V973" s="90"/>
      <c r="W973" s="90"/>
      <c r="X973" s="90"/>
      <c r="Y973" s="90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90"/>
      <c r="V974" s="90"/>
      <c r="W974" s="90"/>
      <c r="X974" s="90"/>
      <c r="Y974" s="90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90"/>
      <c r="V975" s="90"/>
      <c r="W975" s="90"/>
      <c r="X975" s="90"/>
      <c r="Y975" s="90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90"/>
      <c r="V976" s="90"/>
      <c r="W976" s="90"/>
      <c r="X976" s="90"/>
      <c r="Y976" s="90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90"/>
      <c r="V977" s="90"/>
      <c r="W977" s="90"/>
      <c r="X977" s="90"/>
      <c r="Y977" s="90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90"/>
      <c r="V978" s="90"/>
      <c r="W978" s="90"/>
      <c r="X978" s="90"/>
      <c r="Y978" s="90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90"/>
      <c r="V979" s="90"/>
      <c r="W979" s="90"/>
      <c r="X979" s="90"/>
      <c r="Y979" s="90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90"/>
      <c r="V980" s="90"/>
      <c r="W980" s="90"/>
      <c r="X980" s="90"/>
      <c r="Y980" s="90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90"/>
      <c r="V981" s="90"/>
      <c r="W981" s="90"/>
      <c r="X981" s="90"/>
      <c r="Y981" s="90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90"/>
      <c r="V982" s="90"/>
      <c r="W982" s="90"/>
      <c r="X982" s="90"/>
      <c r="Y982" s="90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90"/>
      <c r="V983" s="90"/>
      <c r="W983" s="90"/>
      <c r="X983" s="90"/>
      <c r="Y983" s="90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90"/>
      <c r="V984" s="90"/>
      <c r="W984" s="90"/>
      <c r="X984" s="90"/>
      <c r="Y984" s="90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90"/>
      <c r="V985" s="90"/>
      <c r="W985" s="90"/>
      <c r="X985" s="90"/>
      <c r="Y985" s="90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90"/>
      <c r="V986" s="90"/>
      <c r="W986" s="90"/>
      <c r="X986" s="90"/>
      <c r="Y986" s="90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90"/>
      <c r="V987" s="90"/>
      <c r="W987" s="90"/>
      <c r="X987" s="90"/>
      <c r="Y987" s="90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90"/>
      <c r="V988" s="90"/>
      <c r="W988" s="90"/>
      <c r="X988" s="90"/>
      <c r="Y988" s="90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90"/>
      <c r="V989" s="90"/>
      <c r="W989" s="90"/>
      <c r="X989" s="90"/>
      <c r="Y989" s="90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90"/>
      <c r="V990" s="90"/>
      <c r="W990" s="90"/>
      <c r="X990" s="90"/>
      <c r="Y990" s="90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90"/>
      <c r="V991" s="90"/>
      <c r="W991" s="90"/>
      <c r="X991" s="90"/>
      <c r="Y991" s="90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90"/>
      <c r="V992" s="90"/>
      <c r="W992" s="90"/>
      <c r="X992" s="90"/>
      <c r="Y992" s="90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90"/>
      <c r="V993" s="90"/>
      <c r="W993" s="90"/>
      <c r="X993" s="90"/>
      <c r="Y993" s="90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90"/>
      <c r="V994" s="90"/>
      <c r="W994" s="90"/>
      <c r="X994" s="90"/>
      <c r="Y994" s="90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90"/>
      <c r="V995" s="90"/>
      <c r="W995" s="90"/>
      <c r="X995" s="90"/>
      <c r="Y995" s="90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90"/>
      <c r="V996" s="90"/>
      <c r="W996" s="90"/>
      <c r="X996" s="90"/>
      <c r="Y996" s="90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90"/>
      <c r="V997" s="90"/>
      <c r="W997" s="90"/>
      <c r="X997" s="90"/>
      <c r="Y997" s="90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90"/>
      <c r="V998" s="90"/>
      <c r="W998" s="90"/>
      <c r="X998" s="90"/>
      <c r="Y998" s="90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90"/>
      <c r="V999" s="90"/>
      <c r="W999" s="90"/>
      <c r="X999" s="90"/>
      <c r="Y999" s="90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90"/>
      <c r="V1000" s="90"/>
      <c r="W1000" s="90"/>
      <c r="X1000" s="90"/>
      <c r="Y1000" s="90"/>
      <c r="Z1000" s="1"/>
    </row>
  </sheetData>
  <mergeCells count="34">
    <mergeCell ref="D3:F3"/>
    <mergeCell ref="L3:T3"/>
    <mergeCell ref="V3:W3"/>
    <mergeCell ref="X3:X4"/>
    <mergeCell ref="C1:T1"/>
    <mergeCell ref="B2:Y2"/>
    <mergeCell ref="B3:B4"/>
    <mergeCell ref="C3:C4"/>
    <mergeCell ref="G3:G4"/>
    <mergeCell ref="H3:H4"/>
    <mergeCell ref="K3:K4"/>
    <mergeCell ref="Y3:Y4"/>
    <mergeCell ref="G5:G8"/>
    <mergeCell ref="H5:H8"/>
    <mergeCell ref="I5:I8"/>
    <mergeCell ref="J5:J8"/>
    <mergeCell ref="K5:K8"/>
    <mergeCell ref="I3:I4"/>
    <mergeCell ref="J3:J4"/>
    <mergeCell ref="B5:B8"/>
    <mergeCell ref="C5:C8"/>
    <mergeCell ref="D5:D8"/>
    <mergeCell ref="E5:E8"/>
    <mergeCell ref="F5:F8"/>
    <mergeCell ref="I16:I17"/>
    <mergeCell ref="J16:J17"/>
    <mergeCell ref="K16:K17"/>
    <mergeCell ref="B16:B17"/>
    <mergeCell ref="C16:C17"/>
    <mergeCell ref="D16:D17"/>
    <mergeCell ref="E16:E17"/>
    <mergeCell ref="F16:F17"/>
    <mergeCell ref="G16:G17"/>
    <mergeCell ref="H16:H17"/>
  </mergeCells>
  <printOptions/>
  <pageMargins bottom="0.5905511811023623" footer="0.0" header="0.0" left="0.7480314960629921" right="0.13" top="0.7874015748031497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7.57"/>
    <col customWidth="1" min="3" max="3" width="30.29"/>
    <col customWidth="1" min="4" max="5" width="6.14"/>
    <col customWidth="1" min="6" max="6" width="5.43"/>
    <col customWidth="1" min="7" max="7" width="5.71"/>
    <col customWidth="1" min="8" max="8" width="5.0"/>
    <col customWidth="1" min="9" max="9" width="6.86"/>
    <col customWidth="1" min="10" max="10" width="5.71"/>
    <col customWidth="1" min="11" max="11" width="5.57"/>
    <col customWidth="1" min="12" max="12" width="5.29"/>
    <col customWidth="1" min="13" max="24" width="4.43"/>
    <col customWidth="1" min="25" max="25" width="4.57"/>
    <col customWidth="1" min="26" max="26" width="5.0"/>
    <col customWidth="1" min="27" max="27" width="4.29"/>
    <col customWidth="1" min="28" max="28" width="5.86"/>
    <col customWidth="1" min="29" max="29" width="3.43"/>
    <col customWidth="1" min="30" max="30" width="2.71"/>
    <col customWidth="1" min="31" max="31" width="3.71"/>
    <col customWidth="1" min="32" max="32" width="6.29"/>
    <col customWidth="1" min="33" max="33" width="10.29"/>
    <col customWidth="1" min="34" max="34" width="6.71"/>
  </cols>
  <sheetData>
    <row r="1">
      <c r="C1" s="59" t="s">
        <v>0</v>
      </c>
      <c r="AA1" s="59"/>
    </row>
    <row r="2">
      <c r="B2" s="60" t="s">
        <v>87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4"/>
    </row>
    <row r="3">
      <c r="B3" s="11" t="s">
        <v>94</v>
      </c>
      <c r="C3" s="11" t="s">
        <v>4</v>
      </c>
      <c r="D3" s="62" t="s">
        <v>5</v>
      </c>
      <c r="E3" s="8"/>
      <c r="F3" s="9"/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62" t="s">
        <v>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63"/>
      <c r="AB3" s="11" t="s">
        <v>15</v>
      </c>
      <c r="AC3" s="64" t="s">
        <v>14</v>
      </c>
      <c r="AD3" s="13"/>
      <c r="AE3" s="14"/>
      <c r="AF3" s="11" t="s">
        <v>16</v>
      </c>
      <c r="AG3" s="11" t="s">
        <v>17</v>
      </c>
      <c r="AH3" s="11" t="s">
        <v>18</v>
      </c>
    </row>
    <row r="4" ht="25.5" customHeight="1">
      <c r="B4" s="15"/>
      <c r="C4" s="15"/>
      <c r="D4" s="65" t="s">
        <v>21</v>
      </c>
      <c r="E4" s="65" t="s">
        <v>22</v>
      </c>
      <c r="F4" s="65" t="s">
        <v>23</v>
      </c>
      <c r="G4" s="15"/>
      <c r="H4" s="15"/>
      <c r="I4" s="15"/>
      <c r="J4" s="15"/>
      <c r="K4" s="15"/>
      <c r="L4" s="66">
        <v>1.0</v>
      </c>
      <c r="M4" s="66">
        <v>2.0</v>
      </c>
      <c r="N4" s="66">
        <v>3.0</v>
      </c>
      <c r="O4" s="66">
        <v>4.0</v>
      </c>
      <c r="P4" s="66">
        <v>5.0</v>
      </c>
      <c r="Q4" s="66">
        <v>6.0</v>
      </c>
      <c r="R4" s="66">
        <v>7.0</v>
      </c>
      <c r="S4" s="66">
        <v>8.0</v>
      </c>
      <c r="T4" s="66">
        <v>9.0</v>
      </c>
      <c r="U4" s="66">
        <v>10.0</v>
      </c>
      <c r="V4" s="66">
        <v>11.0</v>
      </c>
      <c r="W4" s="66">
        <v>12.0</v>
      </c>
      <c r="X4" s="66">
        <v>13.0</v>
      </c>
      <c r="Y4" s="66">
        <v>14.0</v>
      </c>
      <c r="Z4" s="66">
        <v>15.0</v>
      </c>
      <c r="AA4" s="66">
        <v>16.0</v>
      </c>
      <c r="AB4" s="15"/>
      <c r="AC4" s="18"/>
      <c r="AD4" s="19"/>
      <c r="AE4" s="20"/>
      <c r="AF4" s="15"/>
      <c r="AG4" s="15"/>
      <c r="AH4" s="15"/>
    </row>
    <row r="5">
      <c r="B5" s="67">
        <v>1.0</v>
      </c>
      <c r="C5" s="68" t="s">
        <v>95</v>
      </c>
      <c r="D5" s="67">
        <v>58.0</v>
      </c>
      <c r="E5" s="67">
        <v>70.0</v>
      </c>
      <c r="F5" s="67">
        <v>4.25</v>
      </c>
      <c r="G5" s="67">
        <f>+(D5*E5)/(F5*(D5+E5))</f>
        <v>7.463235294</v>
      </c>
      <c r="H5" s="67">
        <v>4.0</v>
      </c>
      <c r="I5" s="67">
        <v>2.0</v>
      </c>
      <c r="J5" s="67">
        <f>+H5+I5</f>
        <v>6</v>
      </c>
      <c r="K5" s="67">
        <f>POWER(J5,2)</f>
        <v>36</v>
      </c>
      <c r="L5" s="85">
        <v>402.0</v>
      </c>
      <c r="M5" s="85">
        <v>388.0</v>
      </c>
      <c r="N5" s="85">
        <v>334.0</v>
      </c>
      <c r="O5" s="85">
        <v>325.0</v>
      </c>
      <c r="P5" s="85">
        <v>271.0</v>
      </c>
      <c r="Q5" s="85">
        <v>321.0</v>
      </c>
      <c r="R5" s="85">
        <v>316.0</v>
      </c>
      <c r="S5" s="85">
        <v>206.0</v>
      </c>
      <c r="T5" s="85">
        <v>264.0</v>
      </c>
      <c r="U5" s="85">
        <v>303.0</v>
      </c>
      <c r="V5" s="85">
        <v>213.0</v>
      </c>
      <c r="W5" s="85">
        <v>290.0</v>
      </c>
      <c r="X5" s="85">
        <v>371.0</v>
      </c>
      <c r="Y5" s="85">
        <v>363.0</v>
      </c>
      <c r="Z5" s="85">
        <v>260.0</v>
      </c>
      <c r="AA5" s="85">
        <v>401.0</v>
      </c>
      <c r="AB5" s="24">
        <f>AVERAGE(L5:AA7)</f>
        <v>336.3333333</v>
      </c>
      <c r="AC5" s="67">
        <f>MIN(L5:Z6)</f>
        <v>206</v>
      </c>
      <c r="AD5" s="67" t="str">
        <f>IF(AC5&gt;AE5,"&gt;","&lt;")</f>
        <v>&gt;</v>
      </c>
      <c r="AE5" s="67">
        <f>+AB5/2</f>
        <v>168.1666667</v>
      </c>
      <c r="AF5" s="67">
        <v>500.0</v>
      </c>
      <c r="AG5" s="71" t="str">
        <f>IF(AC5&gt;AE5,"SI","NO")</f>
        <v>SI</v>
      </c>
      <c r="AH5" s="71" t="str">
        <f>IF(AB5&gt;AF5,"SI","NO")</f>
        <v>NO</v>
      </c>
    </row>
    <row r="6">
      <c r="B6" s="28"/>
      <c r="C6" s="28"/>
      <c r="D6" s="28"/>
      <c r="E6" s="28"/>
      <c r="F6" s="28"/>
      <c r="G6" s="28"/>
      <c r="H6" s="28"/>
      <c r="I6" s="28"/>
      <c r="J6" s="28"/>
      <c r="K6" s="28"/>
      <c r="L6" s="85">
        <v>302.0</v>
      </c>
      <c r="M6" s="85">
        <v>288.0</v>
      </c>
      <c r="N6" s="85">
        <v>224.0</v>
      </c>
      <c r="O6" s="85">
        <v>400.0</v>
      </c>
      <c r="P6" s="85">
        <v>412.0</v>
      </c>
      <c r="Q6" s="85">
        <v>308.0</v>
      </c>
      <c r="R6" s="85">
        <v>314.0</v>
      </c>
      <c r="S6" s="85">
        <v>421.0</v>
      </c>
      <c r="T6" s="85">
        <v>400.0</v>
      </c>
      <c r="U6" s="85">
        <v>319.0</v>
      </c>
      <c r="V6" s="85">
        <v>403.0</v>
      </c>
      <c r="W6" s="85">
        <v>384.0</v>
      </c>
      <c r="X6" s="85">
        <v>361.0</v>
      </c>
      <c r="Y6" s="85">
        <v>317.0</v>
      </c>
      <c r="Z6" s="85">
        <v>336.0</v>
      </c>
      <c r="AA6" s="85">
        <v>352.0</v>
      </c>
      <c r="AB6" s="28"/>
      <c r="AC6" s="28"/>
      <c r="AD6" s="28"/>
      <c r="AE6" s="28"/>
      <c r="AF6" s="28"/>
      <c r="AG6" s="28"/>
      <c r="AH6" s="28"/>
    </row>
    <row r="7">
      <c r="B7" s="15"/>
      <c r="C7" s="15"/>
      <c r="D7" s="15"/>
      <c r="E7" s="15"/>
      <c r="F7" s="15"/>
      <c r="G7" s="15"/>
      <c r="H7" s="15"/>
      <c r="I7" s="15"/>
      <c r="J7" s="15"/>
      <c r="K7" s="15"/>
      <c r="L7" s="85">
        <v>348.0</v>
      </c>
      <c r="M7" s="85">
        <v>390.0</v>
      </c>
      <c r="N7" s="85">
        <v>399.0</v>
      </c>
      <c r="O7" s="85">
        <v>402.0</v>
      </c>
      <c r="P7" s="86" t="s">
        <v>28</v>
      </c>
      <c r="Q7" s="86" t="s">
        <v>28</v>
      </c>
      <c r="R7" s="86" t="s">
        <v>28</v>
      </c>
      <c r="S7" s="86" t="s">
        <v>28</v>
      </c>
      <c r="T7" s="86" t="s">
        <v>28</v>
      </c>
      <c r="U7" s="86" t="s">
        <v>28</v>
      </c>
      <c r="V7" s="86" t="s">
        <v>28</v>
      </c>
      <c r="W7" s="86" t="s">
        <v>28</v>
      </c>
      <c r="X7" s="86" t="s">
        <v>28</v>
      </c>
      <c r="Y7" s="86" t="s">
        <v>28</v>
      </c>
      <c r="Z7" s="86" t="s">
        <v>28</v>
      </c>
      <c r="AA7" s="86" t="s">
        <v>28</v>
      </c>
      <c r="AB7" s="15"/>
      <c r="AC7" s="15"/>
      <c r="AD7" s="15"/>
      <c r="AE7" s="15"/>
      <c r="AF7" s="15"/>
      <c r="AG7" s="15"/>
      <c r="AH7" s="15"/>
    </row>
    <row r="8">
      <c r="B8" s="73">
        <v>2.0</v>
      </c>
      <c r="C8" s="74" t="s">
        <v>25</v>
      </c>
      <c r="D8" s="72">
        <v>5.05</v>
      </c>
      <c r="E8" s="72">
        <v>38.25</v>
      </c>
      <c r="F8" s="72">
        <v>4.25</v>
      </c>
      <c r="G8" s="112">
        <f t="shared" ref="G8:G12" si="1">+(D8*E8)/(F8*(D8+E8))</f>
        <v>1.04965358</v>
      </c>
      <c r="H8" s="72">
        <v>1.0</v>
      </c>
      <c r="I8" s="72">
        <v>2.0</v>
      </c>
      <c r="J8" s="72">
        <f t="shared" ref="J8:J12" si="2">+H8+I8</f>
        <v>3</v>
      </c>
      <c r="K8" s="72">
        <f t="shared" ref="K8:K12" si="3">POWER(J8,2)</f>
        <v>9</v>
      </c>
      <c r="L8" s="85">
        <v>515.0</v>
      </c>
      <c r="M8" s="85">
        <v>485.0</v>
      </c>
      <c r="N8" s="85">
        <v>425.0</v>
      </c>
      <c r="O8" s="85">
        <v>504.0</v>
      </c>
      <c r="P8" s="85">
        <v>482.0</v>
      </c>
      <c r="Q8" s="85">
        <v>628.0</v>
      </c>
      <c r="R8" s="85">
        <v>630.0</v>
      </c>
      <c r="S8" s="85">
        <v>595.0</v>
      </c>
      <c r="T8" s="85">
        <v>651.0</v>
      </c>
      <c r="U8" s="86" t="s">
        <v>28</v>
      </c>
      <c r="V8" s="86" t="s">
        <v>28</v>
      </c>
      <c r="W8" s="86" t="s">
        <v>28</v>
      </c>
      <c r="X8" s="86" t="s">
        <v>28</v>
      </c>
      <c r="Y8" s="86" t="s">
        <v>28</v>
      </c>
      <c r="Z8" s="86" t="s">
        <v>28</v>
      </c>
      <c r="AA8" s="86" t="s">
        <v>28</v>
      </c>
      <c r="AB8" s="35">
        <f t="shared" ref="AB8:AB30" si="4">AVERAGE(L8:AA8)</f>
        <v>546.1111111</v>
      </c>
      <c r="AC8" s="35">
        <f t="shared" ref="AC8:AC14" si="5">MIN(L8:Z8)</f>
        <v>425</v>
      </c>
      <c r="AD8" s="35" t="str">
        <f t="shared" ref="AD8:AD30" si="6">IF(AC8&gt;AE8,"&gt;","&lt;")</f>
        <v>&gt;</v>
      </c>
      <c r="AE8" s="35">
        <f t="shared" ref="AE8:AE30" si="7">+AB8/2</f>
        <v>273.0555556</v>
      </c>
      <c r="AF8" s="75">
        <v>500.0</v>
      </c>
      <c r="AG8" s="76" t="str">
        <f t="shared" ref="AG8:AG30" si="8">IF(AC8&gt;AE8,"SI","NO")</f>
        <v>SI</v>
      </c>
      <c r="AH8" s="76" t="str">
        <f t="shared" ref="AH8:AH30" si="9">IF(AB8&gt;AF8,"SI","NO")</f>
        <v>SI</v>
      </c>
    </row>
    <row r="9">
      <c r="B9" s="72">
        <v>3.0</v>
      </c>
      <c r="C9" s="77" t="s">
        <v>26</v>
      </c>
      <c r="D9" s="72">
        <v>7.22</v>
      </c>
      <c r="E9" s="72">
        <v>2.39</v>
      </c>
      <c r="F9" s="72">
        <v>4.25</v>
      </c>
      <c r="G9" s="112">
        <f t="shared" si="1"/>
        <v>0.4224961743</v>
      </c>
      <c r="H9" s="72">
        <v>1.0</v>
      </c>
      <c r="I9" s="72">
        <v>2.0</v>
      </c>
      <c r="J9" s="72">
        <f t="shared" si="2"/>
        <v>3</v>
      </c>
      <c r="K9" s="72">
        <f t="shared" si="3"/>
        <v>9</v>
      </c>
      <c r="L9" s="85">
        <v>617.0</v>
      </c>
      <c r="M9" s="85">
        <v>557.0</v>
      </c>
      <c r="N9" s="85">
        <v>668.0</v>
      </c>
      <c r="O9" s="85">
        <v>585.0</v>
      </c>
      <c r="P9" s="85">
        <v>625.0</v>
      </c>
      <c r="Q9" s="85">
        <v>641.0</v>
      </c>
      <c r="R9" s="85">
        <v>597.0</v>
      </c>
      <c r="S9" s="85">
        <v>547.0</v>
      </c>
      <c r="T9" s="85">
        <v>556.0</v>
      </c>
      <c r="U9" s="86" t="s">
        <v>28</v>
      </c>
      <c r="V9" s="86" t="s">
        <v>28</v>
      </c>
      <c r="W9" s="86" t="s">
        <v>28</v>
      </c>
      <c r="X9" s="86" t="s">
        <v>28</v>
      </c>
      <c r="Y9" s="86" t="s">
        <v>28</v>
      </c>
      <c r="Z9" s="86" t="s">
        <v>28</v>
      </c>
      <c r="AA9" s="86" t="s">
        <v>28</v>
      </c>
      <c r="AB9" s="35">
        <f t="shared" si="4"/>
        <v>599.2222222</v>
      </c>
      <c r="AC9" s="35">
        <f t="shared" si="5"/>
        <v>547</v>
      </c>
      <c r="AD9" s="35" t="str">
        <f t="shared" si="6"/>
        <v>&gt;</v>
      </c>
      <c r="AE9" s="35">
        <f t="shared" si="7"/>
        <v>299.6111111</v>
      </c>
      <c r="AF9" s="78">
        <v>500.0</v>
      </c>
      <c r="AG9" s="76" t="str">
        <f t="shared" si="8"/>
        <v>SI</v>
      </c>
      <c r="AH9" s="76" t="str">
        <f t="shared" si="9"/>
        <v>SI</v>
      </c>
    </row>
    <row r="10">
      <c r="B10" s="72">
        <v>4.0</v>
      </c>
      <c r="C10" s="77" t="s">
        <v>107</v>
      </c>
      <c r="D10" s="72">
        <v>2.49</v>
      </c>
      <c r="E10" s="72">
        <v>3.26</v>
      </c>
      <c r="F10" s="72">
        <v>2.88</v>
      </c>
      <c r="G10" s="112">
        <f t="shared" si="1"/>
        <v>0.4901811594</v>
      </c>
      <c r="H10" s="72">
        <v>1.0</v>
      </c>
      <c r="I10" s="72">
        <v>2.0</v>
      </c>
      <c r="J10" s="72">
        <f t="shared" si="2"/>
        <v>3</v>
      </c>
      <c r="K10" s="72">
        <f t="shared" si="3"/>
        <v>9</v>
      </c>
      <c r="L10" s="85">
        <v>157.0</v>
      </c>
      <c r="M10" s="85">
        <v>141.0</v>
      </c>
      <c r="N10" s="85">
        <v>121.0</v>
      </c>
      <c r="O10" s="85">
        <v>153.0</v>
      </c>
      <c r="P10" s="85">
        <v>166.0</v>
      </c>
      <c r="Q10" s="85">
        <v>123.0</v>
      </c>
      <c r="R10" s="85">
        <v>125.0</v>
      </c>
      <c r="S10" s="85">
        <v>184.0</v>
      </c>
      <c r="T10" s="85">
        <v>207.0</v>
      </c>
      <c r="U10" s="86" t="s">
        <v>28</v>
      </c>
      <c r="V10" s="86" t="s">
        <v>28</v>
      </c>
      <c r="W10" s="86" t="s">
        <v>28</v>
      </c>
      <c r="X10" s="86" t="s">
        <v>28</v>
      </c>
      <c r="Y10" s="86" t="s">
        <v>28</v>
      </c>
      <c r="Z10" s="86" t="s">
        <v>28</v>
      </c>
      <c r="AA10" s="86" t="s">
        <v>28</v>
      </c>
      <c r="AB10" s="35">
        <f t="shared" si="4"/>
        <v>153</v>
      </c>
      <c r="AC10" s="35">
        <f t="shared" si="5"/>
        <v>121</v>
      </c>
      <c r="AD10" s="35" t="str">
        <f t="shared" si="6"/>
        <v>&gt;</v>
      </c>
      <c r="AE10" s="35">
        <f t="shared" si="7"/>
        <v>76.5</v>
      </c>
      <c r="AF10" s="78">
        <v>300.0</v>
      </c>
      <c r="AG10" s="76" t="str">
        <f t="shared" si="8"/>
        <v>SI</v>
      </c>
      <c r="AH10" s="76" t="str">
        <f t="shared" si="9"/>
        <v>NO</v>
      </c>
    </row>
    <row r="11">
      <c r="B11" s="73">
        <v>5.0</v>
      </c>
      <c r="C11" s="77" t="s">
        <v>96</v>
      </c>
      <c r="D11" s="72">
        <v>3.78</v>
      </c>
      <c r="E11" s="72">
        <v>3.66</v>
      </c>
      <c r="F11" s="72">
        <v>2.88</v>
      </c>
      <c r="G11" s="112">
        <f t="shared" si="1"/>
        <v>0.6456653226</v>
      </c>
      <c r="H11" s="72">
        <v>1.0</v>
      </c>
      <c r="I11" s="72">
        <v>2.0</v>
      </c>
      <c r="J11" s="72">
        <f t="shared" si="2"/>
        <v>3</v>
      </c>
      <c r="K11" s="72">
        <f t="shared" si="3"/>
        <v>9</v>
      </c>
      <c r="L11" s="85">
        <v>72.0</v>
      </c>
      <c r="M11" s="85">
        <v>90.0</v>
      </c>
      <c r="N11" s="85">
        <v>96.0</v>
      </c>
      <c r="O11" s="85">
        <v>54.0</v>
      </c>
      <c r="P11" s="85">
        <v>68.0</v>
      </c>
      <c r="Q11" s="85">
        <v>63.0</v>
      </c>
      <c r="R11" s="85">
        <v>123.0</v>
      </c>
      <c r="S11" s="85">
        <v>134.0</v>
      </c>
      <c r="T11" s="85">
        <v>128.0</v>
      </c>
      <c r="U11" s="86" t="s">
        <v>28</v>
      </c>
      <c r="V11" s="86" t="s">
        <v>28</v>
      </c>
      <c r="W11" s="86" t="s">
        <v>28</v>
      </c>
      <c r="X11" s="86" t="s">
        <v>28</v>
      </c>
      <c r="Y11" s="86" t="s">
        <v>28</v>
      </c>
      <c r="Z11" s="86" t="s">
        <v>28</v>
      </c>
      <c r="AA11" s="86" t="s">
        <v>28</v>
      </c>
      <c r="AB11" s="35">
        <f t="shared" si="4"/>
        <v>92</v>
      </c>
      <c r="AC11" s="35">
        <f t="shared" si="5"/>
        <v>54</v>
      </c>
      <c r="AD11" s="35" t="str">
        <f t="shared" si="6"/>
        <v>&gt;</v>
      </c>
      <c r="AE11" s="35">
        <f t="shared" si="7"/>
        <v>46</v>
      </c>
      <c r="AF11" s="78">
        <v>500.0</v>
      </c>
      <c r="AG11" s="76" t="str">
        <f t="shared" si="8"/>
        <v>SI</v>
      </c>
      <c r="AH11" s="76" t="str">
        <f t="shared" si="9"/>
        <v>NO</v>
      </c>
    </row>
    <row r="12">
      <c r="B12" s="72">
        <v>6.0</v>
      </c>
      <c r="C12" s="77" t="s">
        <v>30</v>
      </c>
      <c r="D12" s="72">
        <v>3.61</v>
      </c>
      <c r="E12" s="72">
        <v>6.15</v>
      </c>
      <c r="F12" s="72">
        <v>2.88</v>
      </c>
      <c r="G12" s="112">
        <f t="shared" si="1"/>
        <v>0.7898416154</v>
      </c>
      <c r="H12" s="72">
        <v>1.0</v>
      </c>
      <c r="I12" s="72">
        <v>2.0</v>
      </c>
      <c r="J12" s="72">
        <f t="shared" si="2"/>
        <v>3</v>
      </c>
      <c r="K12" s="72">
        <f t="shared" si="3"/>
        <v>9</v>
      </c>
      <c r="L12" s="85">
        <v>193.0</v>
      </c>
      <c r="M12" s="85">
        <v>213.0</v>
      </c>
      <c r="N12" s="85">
        <v>236.0</v>
      </c>
      <c r="O12" s="85">
        <v>239.0</v>
      </c>
      <c r="P12" s="85">
        <v>162.0</v>
      </c>
      <c r="Q12" s="85">
        <v>229.0</v>
      </c>
      <c r="R12" s="85">
        <v>273.0</v>
      </c>
      <c r="S12" s="85">
        <v>244.0</v>
      </c>
      <c r="T12" s="85">
        <v>224.0</v>
      </c>
      <c r="U12" s="86" t="s">
        <v>28</v>
      </c>
      <c r="V12" s="86" t="s">
        <v>28</v>
      </c>
      <c r="W12" s="86" t="s">
        <v>28</v>
      </c>
      <c r="X12" s="86" t="s">
        <v>28</v>
      </c>
      <c r="Y12" s="86" t="s">
        <v>28</v>
      </c>
      <c r="Z12" s="86" t="s">
        <v>28</v>
      </c>
      <c r="AA12" s="86" t="s">
        <v>28</v>
      </c>
      <c r="AB12" s="35">
        <f t="shared" si="4"/>
        <v>223.6666667</v>
      </c>
      <c r="AC12" s="35">
        <f t="shared" si="5"/>
        <v>162</v>
      </c>
      <c r="AD12" s="35" t="str">
        <f t="shared" si="6"/>
        <v>&gt;</v>
      </c>
      <c r="AE12" s="35">
        <f t="shared" si="7"/>
        <v>111.8333333</v>
      </c>
      <c r="AF12" s="78">
        <v>500.0</v>
      </c>
      <c r="AG12" s="76" t="str">
        <f t="shared" si="8"/>
        <v>SI</v>
      </c>
      <c r="AH12" s="76" t="str">
        <f t="shared" si="9"/>
        <v>NO</v>
      </c>
    </row>
    <row r="13">
      <c r="B13" s="72">
        <v>7.0</v>
      </c>
      <c r="C13" s="77" t="s">
        <v>31</v>
      </c>
      <c r="D13" s="86" t="s">
        <v>28</v>
      </c>
      <c r="E13" s="86" t="s">
        <v>28</v>
      </c>
      <c r="F13" s="86" t="s">
        <v>28</v>
      </c>
      <c r="G13" s="86" t="s">
        <v>28</v>
      </c>
      <c r="H13" s="86" t="s">
        <v>28</v>
      </c>
      <c r="I13" s="86" t="s">
        <v>28</v>
      </c>
      <c r="J13" s="86" t="s">
        <v>28</v>
      </c>
      <c r="K13" s="86" t="s">
        <v>28</v>
      </c>
      <c r="L13" s="85">
        <v>143.0</v>
      </c>
      <c r="M13" s="85">
        <v>147.0</v>
      </c>
      <c r="N13" s="86" t="s">
        <v>28</v>
      </c>
      <c r="O13" s="86" t="s">
        <v>28</v>
      </c>
      <c r="P13" s="86" t="s">
        <v>28</v>
      </c>
      <c r="Q13" s="86" t="s">
        <v>28</v>
      </c>
      <c r="R13" s="86" t="s">
        <v>28</v>
      </c>
      <c r="S13" s="86" t="s">
        <v>28</v>
      </c>
      <c r="T13" s="86" t="s">
        <v>28</v>
      </c>
      <c r="U13" s="86" t="s">
        <v>28</v>
      </c>
      <c r="V13" s="86" t="s">
        <v>28</v>
      </c>
      <c r="W13" s="86" t="s">
        <v>28</v>
      </c>
      <c r="X13" s="86" t="s">
        <v>28</v>
      </c>
      <c r="Y13" s="86" t="s">
        <v>28</v>
      </c>
      <c r="Z13" s="86" t="s">
        <v>28</v>
      </c>
      <c r="AA13" s="86" t="s">
        <v>28</v>
      </c>
      <c r="AB13" s="35">
        <f t="shared" si="4"/>
        <v>145</v>
      </c>
      <c r="AC13" s="35">
        <f t="shared" si="5"/>
        <v>143</v>
      </c>
      <c r="AD13" s="35" t="str">
        <f t="shared" si="6"/>
        <v>&gt;</v>
      </c>
      <c r="AE13" s="35">
        <f t="shared" si="7"/>
        <v>72.5</v>
      </c>
      <c r="AF13" s="78">
        <v>100.0</v>
      </c>
      <c r="AG13" s="76" t="str">
        <f t="shared" si="8"/>
        <v>SI</v>
      </c>
      <c r="AH13" s="76" t="str">
        <f t="shared" si="9"/>
        <v>SI</v>
      </c>
    </row>
    <row r="14">
      <c r="B14" s="73">
        <v>8.0</v>
      </c>
      <c r="C14" s="77" t="s">
        <v>32</v>
      </c>
      <c r="D14" s="72">
        <v>15.51</v>
      </c>
      <c r="E14" s="72">
        <v>5.08</v>
      </c>
      <c r="F14" s="72">
        <v>4.53</v>
      </c>
      <c r="G14" s="112">
        <f t="shared" ref="G14:G29" si="10">+(D14*E14)/(F14*(D14+E14))</f>
        <v>0.8447359195</v>
      </c>
      <c r="H14" s="72">
        <v>1.0</v>
      </c>
      <c r="I14" s="72">
        <v>2.0</v>
      </c>
      <c r="J14" s="72">
        <f t="shared" ref="J14:J29" si="11">+H14+I14</f>
        <v>3</v>
      </c>
      <c r="K14" s="72">
        <f t="shared" ref="K14:K29" si="12">POWER(J14,2)</f>
        <v>9</v>
      </c>
      <c r="L14" s="85">
        <v>182.0</v>
      </c>
      <c r="M14" s="85">
        <v>137.0</v>
      </c>
      <c r="N14" s="85">
        <v>198.0</v>
      </c>
      <c r="O14" s="85">
        <v>141.0</v>
      </c>
      <c r="P14" s="85">
        <v>159.0</v>
      </c>
      <c r="Q14" s="85">
        <v>118.0</v>
      </c>
      <c r="R14" s="85">
        <v>205.0</v>
      </c>
      <c r="S14" s="85">
        <v>212.0</v>
      </c>
      <c r="T14" s="85">
        <v>278.0</v>
      </c>
      <c r="U14" s="86" t="s">
        <v>28</v>
      </c>
      <c r="V14" s="86" t="s">
        <v>28</v>
      </c>
      <c r="W14" s="86" t="s">
        <v>28</v>
      </c>
      <c r="X14" s="86" t="s">
        <v>28</v>
      </c>
      <c r="Y14" s="86" t="s">
        <v>28</v>
      </c>
      <c r="Z14" s="86" t="s">
        <v>28</v>
      </c>
      <c r="AA14" s="86" t="s">
        <v>28</v>
      </c>
      <c r="AB14" s="35">
        <f t="shared" si="4"/>
        <v>181.1111111</v>
      </c>
      <c r="AC14" s="35">
        <f t="shared" si="5"/>
        <v>118</v>
      </c>
      <c r="AD14" s="35" t="str">
        <f t="shared" si="6"/>
        <v>&gt;</v>
      </c>
      <c r="AE14" s="35">
        <f t="shared" si="7"/>
        <v>90.55555556</v>
      </c>
      <c r="AF14" s="78">
        <v>200.0</v>
      </c>
      <c r="AG14" s="76" t="str">
        <f t="shared" si="8"/>
        <v>SI</v>
      </c>
      <c r="AH14" s="76" t="str">
        <f t="shared" si="9"/>
        <v>NO</v>
      </c>
    </row>
    <row r="15">
      <c r="B15" s="72">
        <v>9.0</v>
      </c>
      <c r="C15" s="77" t="s">
        <v>33</v>
      </c>
      <c r="D15" s="72">
        <v>10.08</v>
      </c>
      <c r="E15" s="72">
        <v>14.52</v>
      </c>
      <c r="F15" s="72">
        <v>2.94</v>
      </c>
      <c r="G15" s="112">
        <f t="shared" si="10"/>
        <v>2.02369338</v>
      </c>
      <c r="H15" s="72">
        <v>2.0</v>
      </c>
      <c r="I15" s="72">
        <v>2.0</v>
      </c>
      <c r="J15" s="72">
        <f t="shared" si="11"/>
        <v>4</v>
      </c>
      <c r="K15" s="72">
        <f t="shared" si="12"/>
        <v>16</v>
      </c>
      <c r="L15" s="85">
        <v>533.0</v>
      </c>
      <c r="M15" s="85">
        <v>442.0</v>
      </c>
      <c r="N15" s="85">
        <v>340.0</v>
      </c>
      <c r="O15" s="85">
        <v>302.0</v>
      </c>
      <c r="P15" s="85">
        <v>382.0</v>
      </c>
      <c r="Q15" s="85">
        <v>466.0</v>
      </c>
      <c r="R15" s="85">
        <v>472.0</v>
      </c>
      <c r="S15" s="85">
        <v>502.0</v>
      </c>
      <c r="T15" s="85">
        <v>667.0</v>
      </c>
      <c r="U15" s="85">
        <v>579.0</v>
      </c>
      <c r="V15" s="85">
        <v>603.0</v>
      </c>
      <c r="W15" s="85">
        <v>387.0</v>
      </c>
      <c r="X15" s="85">
        <v>330.0</v>
      </c>
      <c r="Y15" s="85">
        <v>441.0</v>
      </c>
      <c r="Z15" s="85">
        <v>364.0</v>
      </c>
      <c r="AA15" s="85">
        <v>126.0</v>
      </c>
      <c r="AB15" s="35">
        <f t="shared" si="4"/>
        <v>433.5</v>
      </c>
      <c r="AC15" s="35">
        <f t="shared" ref="AC15:AC16" si="13">MIN(L15:AA15)</f>
        <v>126</v>
      </c>
      <c r="AD15" s="35" t="str">
        <f t="shared" si="6"/>
        <v>&lt;</v>
      </c>
      <c r="AE15" s="35">
        <f t="shared" si="7"/>
        <v>216.75</v>
      </c>
      <c r="AF15" s="78">
        <v>300.0</v>
      </c>
      <c r="AG15" s="76" t="str">
        <f t="shared" si="8"/>
        <v>NO</v>
      </c>
      <c r="AH15" s="76" t="str">
        <f t="shared" si="9"/>
        <v>SI</v>
      </c>
    </row>
    <row r="16">
      <c r="B16" s="72">
        <v>10.0</v>
      </c>
      <c r="C16" s="77" t="s">
        <v>34</v>
      </c>
      <c r="D16" s="72">
        <v>3.83</v>
      </c>
      <c r="E16" s="72">
        <v>6.2</v>
      </c>
      <c r="F16" s="72">
        <v>2.94</v>
      </c>
      <c r="G16" s="112">
        <f t="shared" si="10"/>
        <v>0.805271261</v>
      </c>
      <c r="H16" s="72">
        <v>1.0</v>
      </c>
      <c r="I16" s="72">
        <v>2.0</v>
      </c>
      <c r="J16" s="72">
        <f t="shared" si="11"/>
        <v>3</v>
      </c>
      <c r="K16" s="72">
        <f t="shared" si="12"/>
        <v>9</v>
      </c>
      <c r="L16" s="85">
        <v>362.0</v>
      </c>
      <c r="M16" s="85">
        <v>219.0</v>
      </c>
      <c r="N16" s="85">
        <v>227.0</v>
      </c>
      <c r="O16" s="85">
        <v>228.0</v>
      </c>
      <c r="P16" s="85">
        <v>236.0</v>
      </c>
      <c r="Q16" s="85">
        <v>345.0</v>
      </c>
      <c r="R16" s="85">
        <v>420.0</v>
      </c>
      <c r="S16" s="85">
        <v>293.0</v>
      </c>
      <c r="T16" s="85">
        <v>307.0</v>
      </c>
      <c r="U16" s="86" t="s">
        <v>28</v>
      </c>
      <c r="V16" s="86" t="s">
        <v>28</v>
      </c>
      <c r="W16" s="86" t="s">
        <v>28</v>
      </c>
      <c r="X16" s="86" t="s">
        <v>28</v>
      </c>
      <c r="Y16" s="86" t="s">
        <v>28</v>
      </c>
      <c r="Z16" s="86" t="s">
        <v>28</v>
      </c>
      <c r="AA16" s="86" t="s">
        <v>28</v>
      </c>
      <c r="AB16" s="35">
        <f t="shared" si="4"/>
        <v>293</v>
      </c>
      <c r="AC16" s="35">
        <f t="shared" si="13"/>
        <v>219</v>
      </c>
      <c r="AD16" s="35" t="str">
        <f t="shared" si="6"/>
        <v>&gt;</v>
      </c>
      <c r="AE16" s="35">
        <f t="shared" si="7"/>
        <v>146.5</v>
      </c>
      <c r="AF16" s="78">
        <v>100.0</v>
      </c>
      <c r="AG16" s="76" t="str">
        <f t="shared" si="8"/>
        <v>SI</v>
      </c>
      <c r="AH16" s="76" t="str">
        <f t="shared" si="9"/>
        <v>SI</v>
      </c>
    </row>
    <row r="17">
      <c r="B17" s="73">
        <v>11.0</v>
      </c>
      <c r="C17" s="77" t="s">
        <v>35</v>
      </c>
      <c r="D17" s="72">
        <v>3.83</v>
      </c>
      <c r="E17" s="72">
        <v>4.03</v>
      </c>
      <c r="F17" s="72">
        <v>2.94</v>
      </c>
      <c r="G17" s="112">
        <f t="shared" si="10"/>
        <v>0.6679346039</v>
      </c>
      <c r="H17" s="72">
        <v>1.0</v>
      </c>
      <c r="I17" s="72">
        <v>2.0</v>
      </c>
      <c r="J17" s="72">
        <f t="shared" si="11"/>
        <v>3</v>
      </c>
      <c r="K17" s="72">
        <f t="shared" si="12"/>
        <v>9</v>
      </c>
      <c r="L17" s="85">
        <v>15.0</v>
      </c>
      <c r="M17" s="85">
        <v>21.0</v>
      </c>
      <c r="N17" s="85">
        <v>19.0</v>
      </c>
      <c r="O17" s="85">
        <v>21.0</v>
      </c>
      <c r="P17" s="85">
        <v>23.0</v>
      </c>
      <c r="Q17" s="85">
        <v>24.0</v>
      </c>
      <c r="R17" s="85">
        <v>20.0</v>
      </c>
      <c r="S17" s="85">
        <v>19.0</v>
      </c>
      <c r="T17" s="85">
        <v>18.0</v>
      </c>
      <c r="U17" s="86" t="s">
        <v>28</v>
      </c>
      <c r="V17" s="86" t="s">
        <v>28</v>
      </c>
      <c r="W17" s="86" t="s">
        <v>28</v>
      </c>
      <c r="X17" s="86" t="s">
        <v>28</v>
      </c>
      <c r="Y17" s="86" t="s">
        <v>28</v>
      </c>
      <c r="Z17" s="86" t="s">
        <v>28</v>
      </c>
      <c r="AA17" s="86" t="s">
        <v>28</v>
      </c>
      <c r="AB17" s="35">
        <f t="shared" si="4"/>
        <v>20</v>
      </c>
      <c r="AC17" s="35">
        <f t="shared" ref="AC17:AC30" si="14">MIN(L17:Z17)</f>
        <v>15</v>
      </c>
      <c r="AD17" s="35" t="str">
        <f t="shared" si="6"/>
        <v>&gt;</v>
      </c>
      <c r="AE17" s="35">
        <f t="shared" si="7"/>
        <v>10</v>
      </c>
      <c r="AF17" s="78">
        <v>50.0</v>
      </c>
      <c r="AG17" s="76" t="str">
        <f t="shared" si="8"/>
        <v>SI</v>
      </c>
      <c r="AH17" s="76" t="str">
        <f t="shared" si="9"/>
        <v>NO</v>
      </c>
    </row>
    <row r="18">
      <c r="B18" s="72">
        <v>12.0</v>
      </c>
      <c r="C18" s="77" t="s">
        <v>36</v>
      </c>
      <c r="D18" s="72">
        <v>2.97</v>
      </c>
      <c r="E18" s="72">
        <v>3.89</v>
      </c>
      <c r="F18" s="72">
        <v>2.94</v>
      </c>
      <c r="G18" s="112">
        <f t="shared" si="10"/>
        <v>0.5728416731</v>
      </c>
      <c r="H18" s="72">
        <v>1.0</v>
      </c>
      <c r="I18" s="72">
        <v>2.0</v>
      </c>
      <c r="J18" s="72">
        <f t="shared" si="11"/>
        <v>3</v>
      </c>
      <c r="K18" s="72">
        <f t="shared" si="12"/>
        <v>9</v>
      </c>
      <c r="L18" s="85">
        <v>236.0</v>
      </c>
      <c r="M18" s="85">
        <v>223.0</v>
      </c>
      <c r="N18" s="85">
        <v>194.0</v>
      </c>
      <c r="O18" s="85">
        <v>236.0</v>
      </c>
      <c r="P18" s="85">
        <v>227.0</v>
      </c>
      <c r="Q18" s="85">
        <v>203.0</v>
      </c>
      <c r="R18" s="85">
        <v>250.0</v>
      </c>
      <c r="S18" s="85">
        <v>246.0</v>
      </c>
      <c r="T18" s="85">
        <v>228.0</v>
      </c>
      <c r="U18" s="86" t="s">
        <v>28</v>
      </c>
      <c r="V18" s="86" t="s">
        <v>28</v>
      </c>
      <c r="W18" s="86" t="s">
        <v>28</v>
      </c>
      <c r="X18" s="86" t="s">
        <v>28</v>
      </c>
      <c r="Y18" s="86" t="s">
        <v>28</v>
      </c>
      <c r="Z18" s="86" t="s">
        <v>28</v>
      </c>
      <c r="AA18" s="86" t="s">
        <v>28</v>
      </c>
      <c r="AB18" s="35">
        <f t="shared" si="4"/>
        <v>227</v>
      </c>
      <c r="AC18" s="35">
        <f t="shared" si="14"/>
        <v>194</v>
      </c>
      <c r="AD18" s="35" t="str">
        <f t="shared" si="6"/>
        <v>&gt;</v>
      </c>
      <c r="AE18" s="35">
        <f t="shared" si="7"/>
        <v>113.5</v>
      </c>
      <c r="AF18" s="78">
        <v>50.0</v>
      </c>
      <c r="AG18" s="76" t="str">
        <f t="shared" si="8"/>
        <v>SI</v>
      </c>
      <c r="AH18" s="76" t="str">
        <f t="shared" si="9"/>
        <v>SI</v>
      </c>
    </row>
    <row r="19">
      <c r="B19" s="72">
        <v>13.0</v>
      </c>
      <c r="C19" s="77" t="s">
        <v>37</v>
      </c>
      <c r="D19" s="72">
        <v>2.56</v>
      </c>
      <c r="E19" s="72">
        <v>3.05</v>
      </c>
      <c r="F19" s="72">
        <v>2.94</v>
      </c>
      <c r="G19" s="112">
        <f t="shared" si="10"/>
        <v>0.4734014818</v>
      </c>
      <c r="H19" s="72">
        <v>1.0</v>
      </c>
      <c r="I19" s="72">
        <v>2.0</v>
      </c>
      <c r="J19" s="72">
        <f t="shared" si="11"/>
        <v>3</v>
      </c>
      <c r="K19" s="72">
        <f t="shared" si="12"/>
        <v>9</v>
      </c>
      <c r="L19" s="85">
        <v>522.0</v>
      </c>
      <c r="M19" s="85">
        <v>562.0</v>
      </c>
      <c r="N19" s="85">
        <v>608.0</v>
      </c>
      <c r="O19" s="85">
        <v>634.0</v>
      </c>
      <c r="P19" s="85">
        <v>545.0</v>
      </c>
      <c r="Q19" s="85">
        <v>602.0</v>
      </c>
      <c r="R19" s="85">
        <v>460.0</v>
      </c>
      <c r="S19" s="85">
        <v>568.0</v>
      </c>
      <c r="T19" s="85">
        <v>544.0</v>
      </c>
      <c r="U19" s="86" t="s">
        <v>28</v>
      </c>
      <c r="V19" s="86" t="s">
        <v>28</v>
      </c>
      <c r="W19" s="86" t="s">
        <v>28</v>
      </c>
      <c r="X19" s="86" t="s">
        <v>28</v>
      </c>
      <c r="Y19" s="86" t="s">
        <v>28</v>
      </c>
      <c r="Z19" s="86" t="s">
        <v>28</v>
      </c>
      <c r="AA19" s="86" t="s">
        <v>28</v>
      </c>
      <c r="AB19" s="35">
        <f t="shared" si="4"/>
        <v>560.5555556</v>
      </c>
      <c r="AC19" s="35">
        <f t="shared" si="14"/>
        <v>460</v>
      </c>
      <c r="AD19" s="35" t="str">
        <f t="shared" si="6"/>
        <v>&gt;</v>
      </c>
      <c r="AE19" s="35">
        <f t="shared" si="7"/>
        <v>280.2777778</v>
      </c>
      <c r="AF19" s="78">
        <v>300.0</v>
      </c>
      <c r="AG19" s="76" t="str">
        <f t="shared" si="8"/>
        <v>SI</v>
      </c>
      <c r="AH19" s="76" t="str">
        <f t="shared" si="9"/>
        <v>SI</v>
      </c>
    </row>
    <row r="20">
      <c r="B20" s="73">
        <v>14.0</v>
      </c>
      <c r="C20" s="77" t="s">
        <v>38</v>
      </c>
      <c r="D20" s="72">
        <v>4.23</v>
      </c>
      <c r="E20" s="72">
        <v>3.71</v>
      </c>
      <c r="F20" s="72">
        <v>2.94</v>
      </c>
      <c r="G20" s="112">
        <f t="shared" si="10"/>
        <v>0.6722741994</v>
      </c>
      <c r="H20" s="72">
        <v>1.0</v>
      </c>
      <c r="I20" s="72">
        <v>2.0</v>
      </c>
      <c r="J20" s="72">
        <f t="shared" si="11"/>
        <v>3</v>
      </c>
      <c r="K20" s="72">
        <f t="shared" si="12"/>
        <v>9</v>
      </c>
      <c r="L20" s="85">
        <v>484.0</v>
      </c>
      <c r="M20" s="85">
        <v>404.0</v>
      </c>
      <c r="N20" s="85">
        <v>403.0</v>
      </c>
      <c r="O20" s="85">
        <v>421.0</v>
      </c>
      <c r="P20" s="85">
        <v>417.0</v>
      </c>
      <c r="Q20" s="85">
        <v>500.0</v>
      </c>
      <c r="R20" s="85">
        <v>447.0</v>
      </c>
      <c r="S20" s="85">
        <v>345.0</v>
      </c>
      <c r="T20" s="85">
        <v>503.0</v>
      </c>
      <c r="U20" s="86" t="s">
        <v>28</v>
      </c>
      <c r="V20" s="86" t="s">
        <v>28</v>
      </c>
      <c r="W20" s="86" t="s">
        <v>28</v>
      </c>
      <c r="X20" s="86" t="s">
        <v>28</v>
      </c>
      <c r="Y20" s="86" t="s">
        <v>28</v>
      </c>
      <c r="Z20" s="86" t="s">
        <v>28</v>
      </c>
      <c r="AA20" s="86" t="s">
        <v>28</v>
      </c>
      <c r="AB20" s="35">
        <f t="shared" si="4"/>
        <v>436</v>
      </c>
      <c r="AC20" s="35">
        <f t="shared" si="14"/>
        <v>345</v>
      </c>
      <c r="AD20" s="35" t="str">
        <f t="shared" si="6"/>
        <v>&gt;</v>
      </c>
      <c r="AE20" s="35">
        <f t="shared" si="7"/>
        <v>218</v>
      </c>
      <c r="AF20" s="78">
        <v>300.0</v>
      </c>
      <c r="AG20" s="76" t="str">
        <f t="shared" si="8"/>
        <v>SI</v>
      </c>
      <c r="AH20" s="76" t="str">
        <f t="shared" si="9"/>
        <v>SI</v>
      </c>
    </row>
    <row r="21" ht="15.75" customHeight="1">
      <c r="B21" s="72">
        <v>15.0</v>
      </c>
      <c r="C21" s="77" t="s">
        <v>39</v>
      </c>
      <c r="D21" s="72">
        <v>5.75</v>
      </c>
      <c r="E21" s="72">
        <v>2.79</v>
      </c>
      <c r="F21" s="72">
        <v>2.94</v>
      </c>
      <c r="G21" s="112">
        <f t="shared" si="10"/>
        <v>0.6389499594</v>
      </c>
      <c r="H21" s="72">
        <v>1.0</v>
      </c>
      <c r="I21" s="72">
        <v>2.0</v>
      </c>
      <c r="J21" s="72">
        <f t="shared" si="11"/>
        <v>3</v>
      </c>
      <c r="K21" s="72">
        <f t="shared" si="12"/>
        <v>9</v>
      </c>
      <c r="L21" s="85">
        <v>431.0</v>
      </c>
      <c r="M21" s="85">
        <v>579.0</v>
      </c>
      <c r="N21" s="85">
        <v>593.0</v>
      </c>
      <c r="O21" s="85">
        <v>636.0</v>
      </c>
      <c r="P21" s="85">
        <v>442.0</v>
      </c>
      <c r="Q21" s="85">
        <v>530.0</v>
      </c>
      <c r="R21" s="85">
        <v>545.0</v>
      </c>
      <c r="S21" s="85">
        <v>596.0</v>
      </c>
      <c r="T21" s="85">
        <v>678.0</v>
      </c>
      <c r="U21" s="86" t="s">
        <v>28</v>
      </c>
      <c r="V21" s="86" t="s">
        <v>28</v>
      </c>
      <c r="W21" s="86" t="s">
        <v>28</v>
      </c>
      <c r="X21" s="86" t="s">
        <v>28</v>
      </c>
      <c r="Y21" s="86" t="s">
        <v>28</v>
      </c>
      <c r="Z21" s="86" t="s">
        <v>28</v>
      </c>
      <c r="AA21" s="86" t="s">
        <v>28</v>
      </c>
      <c r="AB21" s="35">
        <f t="shared" si="4"/>
        <v>558.8888889</v>
      </c>
      <c r="AC21" s="35">
        <f t="shared" si="14"/>
        <v>431</v>
      </c>
      <c r="AD21" s="35" t="str">
        <f t="shared" si="6"/>
        <v>&gt;</v>
      </c>
      <c r="AE21" s="35">
        <f t="shared" si="7"/>
        <v>279.4444444</v>
      </c>
      <c r="AF21" s="78">
        <v>300.0</v>
      </c>
      <c r="AG21" s="76" t="str">
        <f t="shared" si="8"/>
        <v>SI</v>
      </c>
      <c r="AH21" s="76" t="str">
        <f t="shared" si="9"/>
        <v>SI</v>
      </c>
    </row>
    <row r="22" ht="15.75" customHeight="1">
      <c r="B22" s="72">
        <v>16.0</v>
      </c>
      <c r="C22" s="77" t="s">
        <v>40</v>
      </c>
      <c r="D22" s="72">
        <v>3.97</v>
      </c>
      <c r="E22" s="72">
        <v>3.66</v>
      </c>
      <c r="F22" s="72">
        <v>2.94</v>
      </c>
      <c r="G22" s="112">
        <f t="shared" si="10"/>
        <v>0.6477385187</v>
      </c>
      <c r="H22" s="72">
        <v>1.0</v>
      </c>
      <c r="I22" s="72">
        <v>2.0</v>
      </c>
      <c r="J22" s="72">
        <f t="shared" si="11"/>
        <v>3</v>
      </c>
      <c r="K22" s="72">
        <f t="shared" si="12"/>
        <v>9</v>
      </c>
      <c r="L22" s="85">
        <v>256.0</v>
      </c>
      <c r="M22" s="85">
        <v>265.0</v>
      </c>
      <c r="N22" s="85">
        <v>169.0</v>
      </c>
      <c r="O22" s="85">
        <v>228.0</v>
      </c>
      <c r="P22" s="85">
        <v>210.0</v>
      </c>
      <c r="Q22" s="85">
        <v>169.0</v>
      </c>
      <c r="R22" s="85">
        <v>171.0</v>
      </c>
      <c r="S22" s="85">
        <v>167.0</v>
      </c>
      <c r="T22" s="85">
        <v>201.0</v>
      </c>
      <c r="U22" s="86" t="s">
        <v>28</v>
      </c>
      <c r="V22" s="86" t="s">
        <v>28</v>
      </c>
      <c r="W22" s="86" t="s">
        <v>28</v>
      </c>
      <c r="X22" s="86" t="s">
        <v>28</v>
      </c>
      <c r="Y22" s="86" t="s">
        <v>28</v>
      </c>
      <c r="Z22" s="86" t="s">
        <v>28</v>
      </c>
      <c r="AA22" s="86" t="s">
        <v>28</v>
      </c>
      <c r="AB22" s="35">
        <f t="shared" si="4"/>
        <v>204</v>
      </c>
      <c r="AC22" s="35">
        <f t="shared" si="14"/>
        <v>167</v>
      </c>
      <c r="AD22" s="35" t="str">
        <f t="shared" si="6"/>
        <v>&gt;</v>
      </c>
      <c r="AE22" s="35">
        <f t="shared" si="7"/>
        <v>102</v>
      </c>
      <c r="AF22" s="78">
        <v>50.0</v>
      </c>
      <c r="AG22" s="76" t="str">
        <f t="shared" si="8"/>
        <v>SI</v>
      </c>
      <c r="AH22" s="76" t="str">
        <f t="shared" si="9"/>
        <v>SI</v>
      </c>
    </row>
    <row r="23" ht="15.75" customHeight="1">
      <c r="B23" s="73">
        <v>17.0</v>
      </c>
      <c r="C23" s="77" t="s">
        <v>90</v>
      </c>
      <c r="D23" s="72">
        <v>7.11</v>
      </c>
      <c r="E23" s="72">
        <v>3.53</v>
      </c>
      <c r="F23" s="72">
        <v>2.94</v>
      </c>
      <c r="G23" s="112">
        <f t="shared" si="10"/>
        <v>0.8023342796</v>
      </c>
      <c r="H23" s="72">
        <v>1.0</v>
      </c>
      <c r="I23" s="72">
        <v>2.0</v>
      </c>
      <c r="J23" s="72">
        <f t="shared" si="11"/>
        <v>3</v>
      </c>
      <c r="K23" s="72">
        <f t="shared" si="12"/>
        <v>9</v>
      </c>
      <c r="L23" s="85">
        <v>183.0</v>
      </c>
      <c r="M23" s="85">
        <v>330.0</v>
      </c>
      <c r="N23" s="85">
        <v>227.0</v>
      </c>
      <c r="O23" s="85">
        <v>366.0</v>
      </c>
      <c r="P23" s="85">
        <v>250.0</v>
      </c>
      <c r="Q23" s="85">
        <v>280.0</v>
      </c>
      <c r="R23" s="85">
        <v>289.0</v>
      </c>
      <c r="S23" s="85">
        <v>304.0</v>
      </c>
      <c r="T23" s="85">
        <v>297.0</v>
      </c>
      <c r="U23" s="86" t="s">
        <v>28</v>
      </c>
      <c r="V23" s="86" t="s">
        <v>28</v>
      </c>
      <c r="W23" s="86" t="s">
        <v>28</v>
      </c>
      <c r="X23" s="86" t="s">
        <v>28</v>
      </c>
      <c r="Y23" s="86" t="s">
        <v>28</v>
      </c>
      <c r="Z23" s="86" t="s">
        <v>28</v>
      </c>
      <c r="AA23" s="86" t="s">
        <v>28</v>
      </c>
      <c r="AB23" s="35">
        <f t="shared" si="4"/>
        <v>280.6666667</v>
      </c>
      <c r="AC23" s="35">
        <f t="shared" si="14"/>
        <v>183</v>
      </c>
      <c r="AD23" s="35" t="str">
        <f t="shared" si="6"/>
        <v>&gt;</v>
      </c>
      <c r="AE23" s="35">
        <f t="shared" si="7"/>
        <v>140.3333333</v>
      </c>
      <c r="AF23" s="78">
        <v>50.0</v>
      </c>
      <c r="AG23" s="76" t="str">
        <f t="shared" si="8"/>
        <v>SI</v>
      </c>
      <c r="AH23" s="76" t="str">
        <f t="shared" si="9"/>
        <v>SI</v>
      </c>
    </row>
    <row r="24" ht="15.75" customHeight="1">
      <c r="B24" s="72">
        <v>18.0</v>
      </c>
      <c r="C24" s="77" t="s">
        <v>42</v>
      </c>
      <c r="D24" s="72">
        <v>4.12</v>
      </c>
      <c r="E24" s="72">
        <v>3.32</v>
      </c>
      <c r="F24" s="72">
        <v>2.94</v>
      </c>
      <c r="G24" s="112">
        <f t="shared" si="10"/>
        <v>0.6253383074</v>
      </c>
      <c r="H24" s="72">
        <v>1.0</v>
      </c>
      <c r="I24" s="72">
        <v>2.0</v>
      </c>
      <c r="J24" s="72">
        <f t="shared" si="11"/>
        <v>3</v>
      </c>
      <c r="K24" s="72">
        <f t="shared" si="12"/>
        <v>9</v>
      </c>
      <c r="L24" s="85">
        <v>173.0</v>
      </c>
      <c r="M24" s="85">
        <v>167.0</v>
      </c>
      <c r="N24" s="85">
        <v>116.0</v>
      </c>
      <c r="O24" s="85">
        <v>125.0</v>
      </c>
      <c r="P24" s="85">
        <v>127.0</v>
      </c>
      <c r="Q24" s="85">
        <v>141.0</v>
      </c>
      <c r="R24" s="85">
        <v>143.0</v>
      </c>
      <c r="S24" s="85">
        <v>129.0</v>
      </c>
      <c r="T24" s="85">
        <v>147.0</v>
      </c>
      <c r="U24" s="86" t="s">
        <v>28</v>
      </c>
      <c r="V24" s="86" t="s">
        <v>28</v>
      </c>
      <c r="W24" s="86" t="s">
        <v>28</v>
      </c>
      <c r="X24" s="86" t="s">
        <v>28</v>
      </c>
      <c r="Y24" s="86" t="s">
        <v>28</v>
      </c>
      <c r="Z24" s="86" t="s">
        <v>28</v>
      </c>
      <c r="AA24" s="86" t="s">
        <v>28</v>
      </c>
      <c r="AB24" s="35">
        <f t="shared" si="4"/>
        <v>140.8888889</v>
      </c>
      <c r="AC24" s="35">
        <f t="shared" si="14"/>
        <v>116</v>
      </c>
      <c r="AD24" s="35" t="str">
        <f t="shared" si="6"/>
        <v>&gt;</v>
      </c>
      <c r="AE24" s="35">
        <f t="shared" si="7"/>
        <v>70.44444444</v>
      </c>
      <c r="AF24" s="78">
        <v>50.0</v>
      </c>
      <c r="AG24" s="76" t="str">
        <f t="shared" si="8"/>
        <v>SI</v>
      </c>
      <c r="AH24" s="76" t="str">
        <f t="shared" si="9"/>
        <v>SI</v>
      </c>
    </row>
    <row r="25" ht="15.75" customHeight="1">
      <c r="B25" s="72">
        <v>19.0</v>
      </c>
      <c r="C25" s="77" t="s">
        <v>43</v>
      </c>
      <c r="D25" s="72">
        <v>3.1</v>
      </c>
      <c r="E25" s="72">
        <v>9.06</v>
      </c>
      <c r="F25" s="72">
        <v>2.94</v>
      </c>
      <c r="G25" s="112">
        <f t="shared" si="10"/>
        <v>0.7856135875</v>
      </c>
      <c r="H25" s="72">
        <v>1.0</v>
      </c>
      <c r="I25" s="72">
        <v>2.0</v>
      </c>
      <c r="J25" s="72">
        <f t="shared" si="11"/>
        <v>3</v>
      </c>
      <c r="K25" s="72">
        <f t="shared" si="12"/>
        <v>9</v>
      </c>
      <c r="L25" s="85">
        <v>29.0</v>
      </c>
      <c r="M25" s="85">
        <v>27.0</v>
      </c>
      <c r="N25" s="85">
        <v>5.0</v>
      </c>
      <c r="O25" s="85">
        <v>15.0</v>
      </c>
      <c r="P25" s="85">
        <v>11.0</v>
      </c>
      <c r="Q25" s="85">
        <v>9.0</v>
      </c>
      <c r="R25" s="85">
        <v>12.0</v>
      </c>
      <c r="S25" s="85">
        <v>14.0</v>
      </c>
      <c r="T25" s="85">
        <v>16.0</v>
      </c>
      <c r="U25" s="86" t="s">
        <v>28</v>
      </c>
      <c r="V25" s="86" t="s">
        <v>28</v>
      </c>
      <c r="W25" s="86" t="s">
        <v>28</v>
      </c>
      <c r="X25" s="86" t="s">
        <v>28</v>
      </c>
      <c r="Y25" s="86" t="s">
        <v>28</v>
      </c>
      <c r="Z25" s="86" t="s">
        <v>28</v>
      </c>
      <c r="AA25" s="86" t="s">
        <v>28</v>
      </c>
      <c r="AB25" s="35">
        <f t="shared" si="4"/>
        <v>15.33333333</v>
      </c>
      <c r="AC25" s="35">
        <f t="shared" si="14"/>
        <v>5</v>
      </c>
      <c r="AD25" s="35" t="str">
        <f t="shared" si="6"/>
        <v>&lt;</v>
      </c>
      <c r="AE25" s="35">
        <f t="shared" si="7"/>
        <v>7.666666667</v>
      </c>
      <c r="AF25" s="78">
        <v>50.0</v>
      </c>
      <c r="AG25" s="76" t="str">
        <f t="shared" si="8"/>
        <v>NO</v>
      </c>
      <c r="AH25" s="76" t="str">
        <f t="shared" si="9"/>
        <v>NO</v>
      </c>
    </row>
    <row r="26" ht="15.75" customHeight="1">
      <c r="B26" s="73">
        <v>20.0</v>
      </c>
      <c r="C26" s="77" t="s">
        <v>44</v>
      </c>
      <c r="D26" s="72">
        <v>3.03</v>
      </c>
      <c r="E26" s="72">
        <v>20.87</v>
      </c>
      <c r="F26" s="72">
        <v>2.94</v>
      </c>
      <c r="G26" s="112">
        <f t="shared" si="10"/>
        <v>0.8999530356</v>
      </c>
      <c r="H26" s="72">
        <v>1.0</v>
      </c>
      <c r="I26" s="72">
        <v>2.0</v>
      </c>
      <c r="J26" s="72">
        <f t="shared" si="11"/>
        <v>3</v>
      </c>
      <c r="K26" s="72">
        <f t="shared" si="12"/>
        <v>9</v>
      </c>
      <c r="L26" s="85">
        <v>374.0</v>
      </c>
      <c r="M26" s="85">
        <v>330.0</v>
      </c>
      <c r="N26" s="85">
        <v>303.0</v>
      </c>
      <c r="O26" s="85">
        <v>68.0</v>
      </c>
      <c r="P26" s="85">
        <v>56.0</v>
      </c>
      <c r="Q26" s="85">
        <v>395.0</v>
      </c>
      <c r="R26" s="85">
        <v>388.0</v>
      </c>
      <c r="S26" s="85">
        <v>301.0</v>
      </c>
      <c r="T26" s="85">
        <v>229.0</v>
      </c>
      <c r="U26" s="86" t="s">
        <v>28</v>
      </c>
      <c r="V26" s="86" t="s">
        <v>28</v>
      </c>
      <c r="W26" s="86" t="s">
        <v>28</v>
      </c>
      <c r="X26" s="86" t="s">
        <v>28</v>
      </c>
      <c r="Y26" s="86" t="s">
        <v>28</v>
      </c>
      <c r="Z26" s="86" t="s">
        <v>28</v>
      </c>
      <c r="AA26" s="86" t="s">
        <v>28</v>
      </c>
      <c r="AB26" s="35">
        <f t="shared" si="4"/>
        <v>271.5555556</v>
      </c>
      <c r="AC26" s="35">
        <f t="shared" si="14"/>
        <v>56</v>
      </c>
      <c r="AD26" s="35" t="str">
        <f t="shared" si="6"/>
        <v>&lt;</v>
      </c>
      <c r="AE26" s="35">
        <f t="shared" si="7"/>
        <v>135.7777778</v>
      </c>
      <c r="AF26" s="78">
        <v>50.0</v>
      </c>
      <c r="AG26" s="76" t="str">
        <f t="shared" si="8"/>
        <v>NO</v>
      </c>
      <c r="AH26" s="76" t="str">
        <f t="shared" si="9"/>
        <v>SI</v>
      </c>
    </row>
    <row r="27" ht="15.75" customHeight="1">
      <c r="B27" s="72">
        <v>21.0</v>
      </c>
      <c r="C27" s="77" t="s">
        <v>45</v>
      </c>
      <c r="D27" s="72">
        <v>4.22</v>
      </c>
      <c r="E27" s="72">
        <v>5.55</v>
      </c>
      <c r="F27" s="72">
        <v>2.94</v>
      </c>
      <c r="G27" s="112">
        <f t="shared" si="10"/>
        <v>0.8153865436</v>
      </c>
      <c r="H27" s="72">
        <v>1.0</v>
      </c>
      <c r="I27" s="72">
        <v>2.0</v>
      </c>
      <c r="J27" s="72">
        <f t="shared" si="11"/>
        <v>3</v>
      </c>
      <c r="K27" s="72">
        <f t="shared" si="12"/>
        <v>9</v>
      </c>
      <c r="L27" s="85">
        <v>277.0</v>
      </c>
      <c r="M27" s="85">
        <v>424.0</v>
      </c>
      <c r="N27" s="85">
        <v>170.0</v>
      </c>
      <c r="O27" s="85">
        <v>245.0</v>
      </c>
      <c r="P27" s="85">
        <v>281.0</v>
      </c>
      <c r="Q27" s="85">
        <v>394.0</v>
      </c>
      <c r="R27" s="85">
        <v>229.0</v>
      </c>
      <c r="S27" s="85">
        <v>254.0</v>
      </c>
      <c r="T27" s="85">
        <v>198.0</v>
      </c>
      <c r="U27" s="86" t="s">
        <v>28</v>
      </c>
      <c r="V27" s="86" t="s">
        <v>28</v>
      </c>
      <c r="W27" s="86" t="s">
        <v>28</v>
      </c>
      <c r="X27" s="86" t="s">
        <v>28</v>
      </c>
      <c r="Y27" s="86" t="s">
        <v>28</v>
      </c>
      <c r="Z27" s="86" t="s">
        <v>28</v>
      </c>
      <c r="AA27" s="86" t="s">
        <v>28</v>
      </c>
      <c r="AB27" s="35">
        <f t="shared" si="4"/>
        <v>274.6666667</v>
      </c>
      <c r="AC27" s="35">
        <f t="shared" si="14"/>
        <v>170</v>
      </c>
      <c r="AD27" s="35" t="str">
        <f t="shared" si="6"/>
        <v>&gt;</v>
      </c>
      <c r="AE27" s="35">
        <f t="shared" si="7"/>
        <v>137.3333333</v>
      </c>
      <c r="AF27" s="78">
        <v>50.0</v>
      </c>
      <c r="AG27" s="76" t="str">
        <f t="shared" si="8"/>
        <v>SI</v>
      </c>
      <c r="AH27" s="76" t="str">
        <f t="shared" si="9"/>
        <v>SI</v>
      </c>
    </row>
    <row r="28" ht="15.75" customHeight="1">
      <c r="B28" s="72">
        <v>22.0</v>
      </c>
      <c r="C28" s="77" t="s">
        <v>46</v>
      </c>
      <c r="D28" s="72">
        <v>4.98</v>
      </c>
      <c r="E28" s="72">
        <v>8.2</v>
      </c>
      <c r="F28" s="72">
        <v>2.94</v>
      </c>
      <c r="G28" s="112">
        <f t="shared" si="10"/>
        <v>1.053854015</v>
      </c>
      <c r="H28" s="72">
        <v>1.0</v>
      </c>
      <c r="I28" s="72">
        <v>2.0</v>
      </c>
      <c r="J28" s="72">
        <f t="shared" si="11"/>
        <v>3</v>
      </c>
      <c r="K28" s="72">
        <f t="shared" si="12"/>
        <v>9</v>
      </c>
      <c r="L28" s="85">
        <v>405.0</v>
      </c>
      <c r="M28" s="85">
        <v>399.0</v>
      </c>
      <c r="N28" s="85">
        <v>371.0</v>
      </c>
      <c r="O28" s="85">
        <v>478.0</v>
      </c>
      <c r="P28" s="85">
        <v>447.0</v>
      </c>
      <c r="Q28" s="85">
        <v>333.0</v>
      </c>
      <c r="R28" s="85">
        <v>428.0</v>
      </c>
      <c r="S28" s="85">
        <v>517.0</v>
      </c>
      <c r="T28" s="85">
        <v>444.0</v>
      </c>
      <c r="U28" s="86" t="s">
        <v>28</v>
      </c>
      <c r="V28" s="86" t="s">
        <v>28</v>
      </c>
      <c r="W28" s="86" t="s">
        <v>28</v>
      </c>
      <c r="X28" s="86" t="s">
        <v>28</v>
      </c>
      <c r="Y28" s="86" t="s">
        <v>28</v>
      </c>
      <c r="Z28" s="86" t="s">
        <v>28</v>
      </c>
      <c r="AA28" s="86" t="s">
        <v>28</v>
      </c>
      <c r="AB28" s="35">
        <f t="shared" si="4"/>
        <v>424.6666667</v>
      </c>
      <c r="AC28" s="35">
        <f t="shared" si="14"/>
        <v>333</v>
      </c>
      <c r="AD28" s="35" t="str">
        <f t="shared" si="6"/>
        <v>&gt;</v>
      </c>
      <c r="AE28" s="35">
        <f t="shared" si="7"/>
        <v>212.3333333</v>
      </c>
      <c r="AF28" s="78">
        <v>300.0</v>
      </c>
      <c r="AG28" s="76" t="str">
        <f t="shared" si="8"/>
        <v>SI</v>
      </c>
      <c r="AH28" s="76" t="str">
        <f t="shared" si="9"/>
        <v>SI</v>
      </c>
    </row>
    <row r="29" ht="15.75" customHeight="1">
      <c r="B29" s="73">
        <v>23.0</v>
      </c>
      <c r="C29" s="77" t="s">
        <v>97</v>
      </c>
      <c r="D29" s="72">
        <v>3.92</v>
      </c>
      <c r="E29" s="72">
        <v>1.7</v>
      </c>
      <c r="F29" s="72">
        <v>2.85</v>
      </c>
      <c r="G29" s="112">
        <f t="shared" si="10"/>
        <v>0.4160579384</v>
      </c>
      <c r="H29" s="72">
        <v>1.0</v>
      </c>
      <c r="I29" s="72">
        <v>2.0</v>
      </c>
      <c r="J29" s="72">
        <f t="shared" si="11"/>
        <v>3</v>
      </c>
      <c r="K29" s="72">
        <f t="shared" si="12"/>
        <v>9</v>
      </c>
      <c r="L29" s="85">
        <v>268.0</v>
      </c>
      <c r="M29" s="85">
        <v>344.0</v>
      </c>
      <c r="N29" s="85">
        <v>176.0</v>
      </c>
      <c r="O29" s="85">
        <v>208.0</v>
      </c>
      <c r="P29" s="85">
        <v>263.0</v>
      </c>
      <c r="Q29" s="85">
        <v>325.0</v>
      </c>
      <c r="R29" s="85">
        <v>318.0</v>
      </c>
      <c r="S29" s="85">
        <v>442.0</v>
      </c>
      <c r="T29" s="85">
        <v>396.0</v>
      </c>
      <c r="U29" s="86" t="s">
        <v>28</v>
      </c>
      <c r="V29" s="86" t="s">
        <v>28</v>
      </c>
      <c r="W29" s="86" t="s">
        <v>28</v>
      </c>
      <c r="X29" s="86" t="s">
        <v>28</v>
      </c>
      <c r="Y29" s="86" t="s">
        <v>28</v>
      </c>
      <c r="Z29" s="86" t="s">
        <v>28</v>
      </c>
      <c r="AA29" s="86" t="s">
        <v>28</v>
      </c>
      <c r="AB29" s="35">
        <f t="shared" si="4"/>
        <v>304.4444444</v>
      </c>
      <c r="AC29" s="35">
        <f t="shared" si="14"/>
        <v>176</v>
      </c>
      <c r="AD29" s="35" t="str">
        <f t="shared" si="6"/>
        <v>&gt;</v>
      </c>
      <c r="AE29" s="35">
        <f t="shared" si="7"/>
        <v>152.2222222</v>
      </c>
      <c r="AF29" s="78">
        <v>300.0</v>
      </c>
      <c r="AG29" s="76" t="str">
        <f t="shared" si="8"/>
        <v>SI</v>
      </c>
      <c r="AH29" s="76" t="str">
        <f t="shared" si="9"/>
        <v>SI</v>
      </c>
    </row>
    <row r="30" ht="15.75" customHeight="1">
      <c r="B30" s="72">
        <v>24.0</v>
      </c>
      <c r="C30" s="77" t="s">
        <v>47</v>
      </c>
      <c r="D30" s="86" t="s">
        <v>28</v>
      </c>
      <c r="E30" s="86" t="s">
        <v>28</v>
      </c>
      <c r="F30" s="86" t="s">
        <v>28</v>
      </c>
      <c r="G30" s="86" t="s">
        <v>28</v>
      </c>
      <c r="H30" s="86" t="s">
        <v>28</v>
      </c>
      <c r="I30" s="86" t="s">
        <v>28</v>
      </c>
      <c r="J30" s="86" t="s">
        <v>28</v>
      </c>
      <c r="K30" s="86" t="s">
        <v>28</v>
      </c>
      <c r="L30" s="85">
        <v>159.0</v>
      </c>
      <c r="M30" s="85">
        <v>163.0</v>
      </c>
      <c r="N30" s="86" t="s">
        <v>28</v>
      </c>
      <c r="O30" s="86" t="s">
        <v>28</v>
      </c>
      <c r="P30" s="86" t="s">
        <v>28</v>
      </c>
      <c r="Q30" s="86" t="s">
        <v>28</v>
      </c>
      <c r="R30" s="86" t="s">
        <v>28</v>
      </c>
      <c r="S30" s="86" t="s">
        <v>28</v>
      </c>
      <c r="T30" s="86" t="s">
        <v>28</v>
      </c>
      <c r="U30" s="86" t="s">
        <v>28</v>
      </c>
      <c r="V30" s="86" t="s">
        <v>28</v>
      </c>
      <c r="W30" s="86" t="s">
        <v>28</v>
      </c>
      <c r="X30" s="86" t="s">
        <v>28</v>
      </c>
      <c r="Y30" s="86" t="s">
        <v>28</v>
      </c>
      <c r="Z30" s="86" t="s">
        <v>28</v>
      </c>
      <c r="AA30" s="86" t="s">
        <v>28</v>
      </c>
      <c r="AB30" s="35">
        <f t="shared" si="4"/>
        <v>161</v>
      </c>
      <c r="AC30" s="35">
        <f t="shared" si="14"/>
        <v>159</v>
      </c>
      <c r="AD30" s="35" t="str">
        <f t="shared" si="6"/>
        <v>&gt;</v>
      </c>
      <c r="AE30" s="35">
        <f t="shared" si="7"/>
        <v>80.5</v>
      </c>
      <c r="AF30" s="78">
        <v>300.0</v>
      </c>
      <c r="AG30" s="76" t="str">
        <f t="shared" si="8"/>
        <v>SI</v>
      </c>
      <c r="AH30" s="76" t="str">
        <f t="shared" si="9"/>
        <v>NO</v>
      </c>
    </row>
    <row r="31" ht="15.75" customHeight="1">
      <c r="B31" s="60" t="s">
        <v>87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4"/>
    </row>
    <row r="32" ht="15.75" customHeight="1">
      <c r="B32" s="11" t="s">
        <v>94</v>
      </c>
      <c r="C32" s="11" t="s">
        <v>4</v>
      </c>
      <c r="D32" s="62" t="s">
        <v>5</v>
      </c>
      <c r="E32" s="8"/>
      <c r="F32" s="9"/>
      <c r="G32" s="11" t="s">
        <v>6</v>
      </c>
      <c r="H32" s="11" t="s">
        <v>7</v>
      </c>
      <c r="I32" s="11" t="s">
        <v>8</v>
      </c>
      <c r="J32" s="11" t="s">
        <v>9</v>
      </c>
      <c r="K32" s="11" t="s">
        <v>10</v>
      </c>
      <c r="L32" s="62" t="s">
        <v>11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63"/>
      <c r="AB32" s="11" t="s">
        <v>15</v>
      </c>
      <c r="AC32" s="64" t="s">
        <v>14</v>
      </c>
      <c r="AD32" s="13"/>
      <c r="AE32" s="14"/>
      <c r="AF32" s="11" t="s">
        <v>16</v>
      </c>
      <c r="AG32" s="11" t="s">
        <v>17</v>
      </c>
      <c r="AH32" s="11" t="s">
        <v>18</v>
      </c>
    </row>
    <row r="33" ht="21.75" customHeight="1">
      <c r="B33" s="15"/>
      <c r="C33" s="15"/>
      <c r="D33" s="65" t="s">
        <v>21</v>
      </c>
      <c r="E33" s="65" t="s">
        <v>22</v>
      </c>
      <c r="F33" s="65" t="s">
        <v>23</v>
      </c>
      <c r="G33" s="15"/>
      <c r="H33" s="15"/>
      <c r="I33" s="15"/>
      <c r="J33" s="15"/>
      <c r="K33" s="15"/>
      <c r="L33" s="66">
        <v>1.0</v>
      </c>
      <c r="M33" s="66">
        <v>2.0</v>
      </c>
      <c r="N33" s="66">
        <v>3.0</v>
      </c>
      <c r="O33" s="66">
        <v>4.0</v>
      </c>
      <c r="P33" s="66">
        <v>5.0</v>
      </c>
      <c r="Q33" s="66">
        <v>6.0</v>
      </c>
      <c r="R33" s="66">
        <v>7.0</v>
      </c>
      <c r="S33" s="66">
        <v>8.0</v>
      </c>
      <c r="T33" s="66">
        <v>9.0</v>
      </c>
      <c r="U33" s="66">
        <v>10.0</v>
      </c>
      <c r="V33" s="66">
        <v>11.0</v>
      </c>
      <c r="W33" s="66">
        <v>12.0</v>
      </c>
      <c r="X33" s="66">
        <v>13.0</v>
      </c>
      <c r="Y33" s="66">
        <v>14.0</v>
      </c>
      <c r="Z33" s="66">
        <v>15.0</v>
      </c>
      <c r="AA33" s="66">
        <v>16.0</v>
      </c>
      <c r="AB33" s="15"/>
      <c r="AC33" s="18"/>
      <c r="AD33" s="19"/>
      <c r="AE33" s="20"/>
      <c r="AF33" s="15"/>
      <c r="AG33" s="15"/>
      <c r="AH33" s="15"/>
    </row>
    <row r="34" ht="15.75" customHeight="1">
      <c r="B34" s="72">
        <v>25.0</v>
      </c>
      <c r="C34" s="77" t="s">
        <v>48</v>
      </c>
      <c r="D34" s="86" t="s">
        <v>28</v>
      </c>
      <c r="E34" s="86" t="s">
        <v>28</v>
      </c>
      <c r="F34" s="86" t="s">
        <v>28</v>
      </c>
      <c r="G34" s="86" t="s">
        <v>28</v>
      </c>
      <c r="H34" s="86" t="s">
        <v>28</v>
      </c>
      <c r="I34" s="86" t="s">
        <v>28</v>
      </c>
      <c r="J34" s="86" t="s">
        <v>28</v>
      </c>
      <c r="K34" s="86" t="s">
        <v>28</v>
      </c>
      <c r="L34" s="85">
        <v>88.0</v>
      </c>
      <c r="M34" s="85">
        <v>165.0</v>
      </c>
      <c r="N34" s="85">
        <v>187.0</v>
      </c>
      <c r="O34" s="86" t="s">
        <v>28</v>
      </c>
      <c r="P34" s="86" t="s">
        <v>28</v>
      </c>
      <c r="Q34" s="86" t="s">
        <v>28</v>
      </c>
      <c r="R34" s="86" t="s">
        <v>28</v>
      </c>
      <c r="S34" s="86" t="s">
        <v>28</v>
      </c>
      <c r="T34" s="86" t="s">
        <v>28</v>
      </c>
      <c r="U34" s="86" t="s">
        <v>28</v>
      </c>
      <c r="V34" s="86" t="s">
        <v>28</v>
      </c>
      <c r="W34" s="86" t="s">
        <v>28</v>
      </c>
      <c r="X34" s="86" t="s">
        <v>28</v>
      </c>
      <c r="Y34" s="86" t="s">
        <v>28</v>
      </c>
      <c r="Z34" s="86" t="s">
        <v>28</v>
      </c>
      <c r="AA34" s="86" t="s">
        <v>28</v>
      </c>
      <c r="AB34" s="35">
        <f t="shared" ref="AB34:AB62" si="15">AVERAGE(L34:AA34)</f>
        <v>146.6666667</v>
      </c>
      <c r="AC34" s="35">
        <f t="shared" ref="AC34:AC62" si="16">MIN(L34:Z34)</f>
        <v>88</v>
      </c>
      <c r="AD34" s="35" t="str">
        <f t="shared" ref="AD34:AD62" si="17">IF(AC34&gt;AE34,"&gt;","&lt;")</f>
        <v>&gt;</v>
      </c>
      <c r="AE34" s="35">
        <f t="shared" ref="AE34:AE62" si="18">+AB34/2</f>
        <v>73.33333333</v>
      </c>
      <c r="AF34" s="78">
        <v>100.0</v>
      </c>
      <c r="AG34" s="76" t="str">
        <f t="shared" ref="AG34:AG62" si="19">IF(AC34&gt;AE34,"SI","NO")</f>
        <v>SI</v>
      </c>
      <c r="AH34" s="76" t="str">
        <f t="shared" ref="AH34:AH62" si="20">IF(AB34&gt;AF34,"SI","NO")</f>
        <v>SI</v>
      </c>
    </row>
    <row r="35" ht="15.75" customHeight="1">
      <c r="B35" s="72">
        <v>26.0</v>
      </c>
      <c r="C35" s="77" t="s">
        <v>49</v>
      </c>
      <c r="D35" s="86" t="s">
        <v>28</v>
      </c>
      <c r="E35" s="86" t="s">
        <v>28</v>
      </c>
      <c r="F35" s="86" t="s">
        <v>28</v>
      </c>
      <c r="G35" s="86" t="s">
        <v>28</v>
      </c>
      <c r="H35" s="86" t="s">
        <v>28</v>
      </c>
      <c r="I35" s="86" t="s">
        <v>28</v>
      </c>
      <c r="J35" s="86" t="s">
        <v>28</v>
      </c>
      <c r="K35" s="86" t="s">
        <v>28</v>
      </c>
      <c r="L35" s="85">
        <v>184.0</v>
      </c>
      <c r="M35" s="85">
        <v>143.0</v>
      </c>
      <c r="N35" s="85">
        <v>82.0</v>
      </c>
      <c r="O35" s="86" t="s">
        <v>28</v>
      </c>
      <c r="P35" s="86" t="s">
        <v>28</v>
      </c>
      <c r="Q35" s="86" t="s">
        <v>28</v>
      </c>
      <c r="R35" s="86" t="s">
        <v>28</v>
      </c>
      <c r="S35" s="86" t="s">
        <v>28</v>
      </c>
      <c r="T35" s="86" t="s">
        <v>28</v>
      </c>
      <c r="U35" s="86" t="s">
        <v>28</v>
      </c>
      <c r="V35" s="86" t="s">
        <v>28</v>
      </c>
      <c r="W35" s="86" t="s">
        <v>28</v>
      </c>
      <c r="X35" s="86" t="s">
        <v>28</v>
      </c>
      <c r="Y35" s="86" t="s">
        <v>28</v>
      </c>
      <c r="Z35" s="86" t="s">
        <v>28</v>
      </c>
      <c r="AA35" s="86" t="s">
        <v>28</v>
      </c>
      <c r="AB35" s="35">
        <f t="shared" si="15"/>
        <v>136.3333333</v>
      </c>
      <c r="AC35" s="35">
        <f t="shared" si="16"/>
        <v>82</v>
      </c>
      <c r="AD35" s="35" t="str">
        <f t="shared" si="17"/>
        <v>&gt;</v>
      </c>
      <c r="AE35" s="35">
        <f t="shared" si="18"/>
        <v>68.16666667</v>
      </c>
      <c r="AF35" s="78">
        <v>100.0</v>
      </c>
      <c r="AG35" s="76" t="str">
        <f t="shared" si="19"/>
        <v>SI</v>
      </c>
      <c r="AH35" s="76" t="str">
        <f t="shared" si="20"/>
        <v>SI</v>
      </c>
    </row>
    <row r="36" ht="15.75" customHeight="1">
      <c r="B36" s="73">
        <v>27.0</v>
      </c>
      <c r="C36" s="81" t="s">
        <v>50</v>
      </c>
      <c r="D36" s="86" t="s">
        <v>28</v>
      </c>
      <c r="E36" s="86" t="s">
        <v>28</v>
      </c>
      <c r="F36" s="86" t="s">
        <v>28</v>
      </c>
      <c r="G36" s="86" t="s">
        <v>28</v>
      </c>
      <c r="H36" s="86" t="s">
        <v>28</v>
      </c>
      <c r="I36" s="86" t="s">
        <v>28</v>
      </c>
      <c r="J36" s="86" t="s">
        <v>28</v>
      </c>
      <c r="K36" s="86" t="s">
        <v>28</v>
      </c>
      <c r="L36" s="85">
        <v>123.0</v>
      </c>
      <c r="M36" s="85">
        <v>160.0</v>
      </c>
      <c r="N36" s="85">
        <v>172.0</v>
      </c>
      <c r="O36" s="86" t="s">
        <v>28</v>
      </c>
      <c r="P36" s="86" t="s">
        <v>28</v>
      </c>
      <c r="Q36" s="86" t="s">
        <v>28</v>
      </c>
      <c r="R36" s="86" t="s">
        <v>28</v>
      </c>
      <c r="S36" s="86" t="s">
        <v>28</v>
      </c>
      <c r="T36" s="86" t="s">
        <v>28</v>
      </c>
      <c r="U36" s="86" t="s">
        <v>28</v>
      </c>
      <c r="V36" s="86" t="s">
        <v>28</v>
      </c>
      <c r="W36" s="86" t="s">
        <v>28</v>
      </c>
      <c r="X36" s="86" t="s">
        <v>28</v>
      </c>
      <c r="Y36" s="86" t="s">
        <v>28</v>
      </c>
      <c r="Z36" s="86" t="s">
        <v>28</v>
      </c>
      <c r="AA36" s="86" t="s">
        <v>28</v>
      </c>
      <c r="AB36" s="35">
        <f t="shared" si="15"/>
        <v>151.6666667</v>
      </c>
      <c r="AC36" s="35">
        <f t="shared" si="16"/>
        <v>123</v>
      </c>
      <c r="AD36" s="35" t="str">
        <f t="shared" si="17"/>
        <v>&gt;</v>
      </c>
      <c r="AE36" s="35">
        <f t="shared" si="18"/>
        <v>75.83333333</v>
      </c>
      <c r="AF36" s="78">
        <v>100.0</v>
      </c>
      <c r="AG36" s="76" t="str">
        <f t="shared" si="19"/>
        <v>SI</v>
      </c>
      <c r="AH36" s="76" t="str">
        <f t="shared" si="20"/>
        <v>SI</v>
      </c>
    </row>
    <row r="37" ht="15.75" customHeight="1">
      <c r="B37" s="72">
        <v>28.0</v>
      </c>
      <c r="C37" s="81" t="s">
        <v>51</v>
      </c>
      <c r="D37" s="86" t="s">
        <v>28</v>
      </c>
      <c r="E37" s="86" t="s">
        <v>28</v>
      </c>
      <c r="F37" s="86" t="s">
        <v>28</v>
      </c>
      <c r="G37" s="86" t="s">
        <v>28</v>
      </c>
      <c r="H37" s="86" t="s">
        <v>28</v>
      </c>
      <c r="I37" s="86" t="s">
        <v>28</v>
      </c>
      <c r="J37" s="86" t="s">
        <v>28</v>
      </c>
      <c r="K37" s="86" t="s">
        <v>28</v>
      </c>
      <c r="L37" s="85">
        <v>261.0</v>
      </c>
      <c r="M37" s="85">
        <v>306.0</v>
      </c>
      <c r="N37" s="85" t="s">
        <v>28</v>
      </c>
      <c r="O37" s="86" t="s">
        <v>28</v>
      </c>
      <c r="P37" s="86" t="s">
        <v>28</v>
      </c>
      <c r="Q37" s="86" t="s">
        <v>28</v>
      </c>
      <c r="R37" s="86" t="s">
        <v>28</v>
      </c>
      <c r="S37" s="86" t="s">
        <v>28</v>
      </c>
      <c r="T37" s="86" t="s">
        <v>28</v>
      </c>
      <c r="U37" s="86" t="s">
        <v>28</v>
      </c>
      <c r="V37" s="86" t="s">
        <v>28</v>
      </c>
      <c r="W37" s="86" t="s">
        <v>28</v>
      </c>
      <c r="X37" s="86" t="s">
        <v>28</v>
      </c>
      <c r="Y37" s="86" t="s">
        <v>28</v>
      </c>
      <c r="Z37" s="86" t="s">
        <v>28</v>
      </c>
      <c r="AA37" s="86" t="s">
        <v>28</v>
      </c>
      <c r="AB37" s="35">
        <f t="shared" si="15"/>
        <v>283.5</v>
      </c>
      <c r="AC37" s="35">
        <f t="shared" si="16"/>
        <v>261</v>
      </c>
      <c r="AD37" s="35" t="str">
        <f t="shared" si="17"/>
        <v>&gt;</v>
      </c>
      <c r="AE37" s="35">
        <f t="shared" si="18"/>
        <v>141.75</v>
      </c>
      <c r="AF37" s="78">
        <v>100.0</v>
      </c>
      <c r="AG37" s="76" t="str">
        <f t="shared" si="19"/>
        <v>SI</v>
      </c>
      <c r="AH37" s="76" t="str">
        <f t="shared" si="20"/>
        <v>SI</v>
      </c>
    </row>
    <row r="38" ht="15.75" customHeight="1">
      <c r="B38" s="72">
        <v>29.0</v>
      </c>
      <c r="C38" s="77" t="s">
        <v>52</v>
      </c>
      <c r="D38" s="86" t="s">
        <v>28</v>
      </c>
      <c r="E38" s="86" t="s">
        <v>28</v>
      </c>
      <c r="F38" s="86" t="s">
        <v>28</v>
      </c>
      <c r="G38" s="86" t="s">
        <v>28</v>
      </c>
      <c r="H38" s="86" t="s">
        <v>28</v>
      </c>
      <c r="I38" s="86" t="s">
        <v>28</v>
      </c>
      <c r="J38" s="86" t="s">
        <v>28</v>
      </c>
      <c r="K38" s="86" t="s">
        <v>28</v>
      </c>
      <c r="L38" s="85">
        <v>204.0</v>
      </c>
      <c r="M38" s="85">
        <v>232.0</v>
      </c>
      <c r="N38" s="85" t="s">
        <v>28</v>
      </c>
      <c r="O38" s="86" t="s">
        <v>28</v>
      </c>
      <c r="P38" s="86" t="s">
        <v>28</v>
      </c>
      <c r="Q38" s="86" t="s">
        <v>28</v>
      </c>
      <c r="R38" s="86" t="s">
        <v>28</v>
      </c>
      <c r="S38" s="86" t="s">
        <v>28</v>
      </c>
      <c r="T38" s="86" t="s">
        <v>28</v>
      </c>
      <c r="U38" s="86" t="s">
        <v>28</v>
      </c>
      <c r="V38" s="86" t="s">
        <v>28</v>
      </c>
      <c r="W38" s="86" t="s">
        <v>28</v>
      </c>
      <c r="X38" s="86" t="s">
        <v>28</v>
      </c>
      <c r="Y38" s="86" t="s">
        <v>28</v>
      </c>
      <c r="Z38" s="86" t="s">
        <v>28</v>
      </c>
      <c r="AA38" s="86" t="s">
        <v>28</v>
      </c>
      <c r="AB38" s="35">
        <f t="shared" si="15"/>
        <v>218</v>
      </c>
      <c r="AC38" s="35">
        <f t="shared" si="16"/>
        <v>204</v>
      </c>
      <c r="AD38" s="35" t="str">
        <f t="shared" si="17"/>
        <v>&gt;</v>
      </c>
      <c r="AE38" s="35">
        <f t="shared" si="18"/>
        <v>109</v>
      </c>
      <c r="AF38" s="78">
        <v>100.0</v>
      </c>
      <c r="AG38" s="76" t="str">
        <f t="shared" si="19"/>
        <v>SI</v>
      </c>
      <c r="AH38" s="76" t="str">
        <f t="shared" si="20"/>
        <v>SI</v>
      </c>
    </row>
    <row r="39" ht="15.75" customHeight="1">
      <c r="B39" s="73">
        <v>30.0</v>
      </c>
      <c r="C39" s="77" t="s">
        <v>53</v>
      </c>
      <c r="D39" s="72">
        <v>2.6</v>
      </c>
      <c r="E39" s="72">
        <v>2.33</v>
      </c>
      <c r="F39" s="72">
        <v>2.7</v>
      </c>
      <c r="G39" s="112">
        <f t="shared" ref="G39:G47" si="21">+(D39*E39)/(F39*(D39+E39))</f>
        <v>0.4551123131</v>
      </c>
      <c r="H39" s="72">
        <v>1.0</v>
      </c>
      <c r="I39" s="72">
        <v>2.0</v>
      </c>
      <c r="J39" s="72">
        <f t="shared" ref="J39:J47" si="22">+H39+I39</f>
        <v>3</v>
      </c>
      <c r="K39" s="72">
        <f t="shared" ref="K39:K47" si="23">POWER(J39,2)</f>
        <v>9</v>
      </c>
      <c r="L39" s="85">
        <v>357.0</v>
      </c>
      <c r="M39" s="85">
        <v>388.0</v>
      </c>
      <c r="N39" s="85">
        <v>234.0</v>
      </c>
      <c r="O39" s="85">
        <v>308.0</v>
      </c>
      <c r="P39" s="85">
        <v>272.0</v>
      </c>
      <c r="Q39" s="85">
        <v>229.0</v>
      </c>
      <c r="R39" s="85">
        <v>202.0</v>
      </c>
      <c r="S39" s="85">
        <v>216.0</v>
      </c>
      <c r="T39" s="85">
        <v>224.0</v>
      </c>
      <c r="U39" s="86" t="s">
        <v>28</v>
      </c>
      <c r="V39" s="86" t="s">
        <v>28</v>
      </c>
      <c r="W39" s="86" t="s">
        <v>28</v>
      </c>
      <c r="X39" s="86" t="s">
        <v>28</v>
      </c>
      <c r="Y39" s="86" t="s">
        <v>28</v>
      </c>
      <c r="Z39" s="86" t="s">
        <v>28</v>
      </c>
      <c r="AA39" s="86" t="s">
        <v>28</v>
      </c>
      <c r="AB39" s="35">
        <f t="shared" si="15"/>
        <v>270</v>
      </c>
      <c r="AC39" s="35">
        <f t="shared" si="16"/>
        <v>202</v>
      </c>
      <c r="AD39" s="35" t="str">
        <f t="shared" si="17"/>
        <v>&gt;</v>
      </c>
      <c r="AE39" s="35">
        <f t="shared" si="18"/>
        <v>135</v>
      </c>
      <c r="AF39" s="78">
        <v>300.0</v>
      </c>
      <c r="AG39" s="76" t="str">
        <f t="shared" si="19"/>
        <v>SI</v>
      </c>
      <c r="AH39" s="76" t="str">
        <f t="shared" si="20"/>
        <v>NO</v>
      </c>
    </row>
    <row r="40" ht="15.75" customHeight="1">
      <c r="B40" s="72">
        <v>31.0</v>
      </c>
      <c r="C40" s="77" t="s">
        <v>54</v>
      </c>
      <c r="D40" s="72">
        <v>2.61</v>
      </c>
      <c r="E40" s="72">
        <v>4.71</v>
      </c>
      <c r="F40" s="72">
        <v>2.7</v>
      </c>
      <c r="G40" s="112">
        <f t="shared" si="21"/>
        <v>0.6219945355</v>
      </c>
      <c r="H40" s="72">
        <v>1.0</v>
      </c>
      <c r="I40" s="72">
        <v>2.0</v>
      </c>
      <c r="J40" s="72">
        <f t="shared" si="22"/>
        <v>3</v>
      </c>
      <c r="K40" s="72">
        <f t="shared" si="23"/>
        <v>9</v>
      </c>
      <c r="L40" s="85">
        <v>193.0</v>
      </c>
      <c r="M40" s="85">
        <v>205.0</v>
      </c>
      <c r="N40" s="85">
        <v>210.0</v>
      </c>
      <c r="O40" s="85">
        <v>218.0</v>
      </c>
      <c r="P40" s="85">
        <v>233.0</v>
      </c>
      <c r="Q40" s="85">
        <v>222.0</v>
      </c>
      <c r="R40" s="85">
        <v>194.0</v>
      </c>
      <c r="S40" s="85">
        <v>201.0</v>
      </c>
      <c r="T40" s="85">
        <v>257.0</v>
      </c>
      <c r="U40" s="86" t="s">
        <v>28</v>
      </c>
      <c r="V40" s="86" t="s">
        <v>28</v>
      </c>
      <c r="W40" s="86" t="s">
        <v>28</v>
      </c>
      <c r="X40" s="86" t="s">
        <v>28</v>
      </c>
      <c r="Y40" s="86" t="s">
        <v>28</v>
      </c>
      <c r="Z40" s="86" t="s">
        <v>28</v>
      </c>
      <c r="AA40" s="86" t="s">
        <v>28</v>
      </c>
      <c r="AB40" s="35">
        <f t="shared" si="15"/>
        <v>214.7777778</v>
      </c>
      <c r="AC40" s="35">
        <f t="shared" si="16"/>
        <v>193</v>
      </c>
      <c r="AD40" s="35" t="str">
        <f t="shared" si="17"/>
        <v>&gt;</v>
      </c>
      <c r="AE40" s="35">
        <f t="shared" si="18"/>
        <v>107.3888889</v>
      </c>
      <c r="AF40" s="78">
        <v>300.0</v>
      </c>
      <c r="AG40" s="76" t="str">
        <f t="shared" si="19"/>
        <v>SI</v>
      </c>
      <c r="AH40" s="76" t="str">
        <f t="shared" si="20"/>
        <v>NO</v>
      </c>
    </row>
    <row r="41" ht="15.75" customHeight="1">
      <c r="B41" s="72">
        <v>32.0</v>
      </c>
      <c r="C41" s="77" t="s">
        <v>55</v>
      </c>
      <c r="D41" s="72">
        <v>2.35</v>
      </c>
      <c r="E41" s="72">
        <v>2.8</v>
      </c>
      <c r="F41" s="72">
        <v>2.7</v>
      </c>
      <c r="G41" s="112">
        <f t="shared" si="21"/>
        <v>0.4732110752</v>
      </c>
      <c r="H41" s="72">
        <v>1.0</v>
      </c>
      <c r="I41" s="72">
        <v>2.0</v>
      </c>
      <c r="J41" s="72">
        <f t="shared" si="22"/>
        <v>3</v>
      </c>
      <c r="K41" s="72">
        <f t="shared" si="23"/>
        <v>9</v>
      </c>
      <c r="L41" s="85">
        <v>107.0</v>
      </c>
      <c r="M41" s="85">
        <v>115.0</v>
      </c>
      <c r="N41" s="85">
        <v>214.0</v>
      </c>
      <c r="O41" s="85">
        <v>228.0</v>
      </c>
      <c r="P41" s="85">
        <v>226.0</v>
      </c>
      <c r="Q41" s="85">
        <v>222.0</v>
      </c>
      <c r="R41" s="85">
        <v>202.0</v>
      </c>
      <c r="S41" s="85">
        <v>255.0</v>
      </c>
      <c r="T41" s="85">
        <v>281.0</v>
      </c>
      <c r="U41" s="86" t="s">
        <v>28</v>
      </c>
      <c r="V41" s="86" t="s">
        <v>28</v>
      </c>
      <c r="W41" s="86" t="s">
        <v>28</v>
      </c>
      <c r="X41" s="86" t="s">
        <v>28</v>
      </c>
      <c r="Y41" s="86" t="s">
        <v>28</v>
      </c>
      <c r="Z41" s="86" t="s">
        <v>28</v>
      </c>
      <c r="AA41" s="86" t="s">
        <v>28</v>
      </c>
      <c r="AB41" s="35">
        <f t="shared" si="15"/>
        <v>205.5555556</v>
      </c>
      <c r="AC41" s="35">
        <f t="shared" si="16"/>
        <v>107</v>
      </c>
      <c r="AD41" s="35" t="str">
        <f t="shared" si="17"/>
        <v>&gt;</v>
      </c>
      <c r="AE41" s="35">
        <f t="shared" si="18"/>
        <v>102.7777778</v>
      </c>
      <c r="AF41" s="78">
        <v>300.0</v>
      </c>
      <c r="AG41" s="76" t="str">
        <f t="shared" si="19"/>
        <v>SI</v>
      </c>
      <c r="AH41" s="76" t="str">
        <f t="shared" si="20"/>
        <v>NO</v>
      </c>
    </row>
    <row r="42" ht="15.75" customHeight="1">
      <c r="B42" s="73">
        <v>33.0</v>
      </c>
      <c r="C42" s="77" t="s">
        <v>56</v>
      </c>
      <c r="D42" s="72">
        <v>4.1</v>
      </c>
      <c r="E42" s="72">
        <v>7.16</v>
      </c>
      <c r="F42" s="72">
        <v>2.7</v>
      </c>
      <c r="G42" s="112">
        <f t="shared" si="21"/>
        <v>0.9655943688</v>
      </c>
      <c r="H42" s="72">
        <v>1.0</v>
      </c>
      <c r="I42" s="72">
        <v>2.0</v>
      </c>
      <c r="J42" s="72">
        <f t="shared" si="22"/>
        <v>3</v>
      </c>
      <c r="K42" s="72">
        <f t="shared" si="23"/>
        <v>9</v>
      </c>
      <c r="L42" s="85">
        <v>255.0</v>
      </c>
      <c r="M42" s="85">
        <v>362.0</v>
      </c>
      <c r="N42" s="85">
        <v>199.0</v>
      </c>
      <c r="O42" s="85">
        <v>303.0</v>
      </c>
      <c r="P42" s="85">
        <v>395.0</v>
      </c>
      <c r="Q42" s="85">
        <v>352.0</v>
      </c>
      <c r="R42" s="85">
        <v>330.0</v>
      </c>
      <c r="S42" s="85">
        <v>316.0</v>
      </c>
      <c r="T42" s="85">
        <v>324.0</v>
      </c>
      <c r="U42" s="86" t="s">
        <v>28</v>
      </c>
      <c r="V42" s="86" t="s">
        <v>28</v>
      </c>
      <c r="W42" s="86" t="s">
        <v>28</v>
      </c>
      <c r="X42" s="86" t="s">
        <v>28</v>
      </c>
      <c r="Y42" s="86" t="s">
        <v>28</v>
      </c>
      <c r="Z42" s="86" t="s">
        <v>28</v>
      </c>
      <c r="AA42" s="86" t="s">
        <v>28</v>
      </c>
      <c r="AB42" s="35">
        <f t="shared" si="15"/>
        <v>315.1111111</v>
      </c>
      <c r="AC42" s="35">
        <f t="shared" si="16"/>
        <v>199</v>
      </c>
      <c r="AD42" s="35" t="str">
        <f t="shared" si="17"/>
        <v>&gt;</v>
      </c>
      <c r="AE42" s="35">
        <f t="shared" si="18"/>
        <v>157.5555556</v>
      </c>
      <c r="AF42" s="78">
        <v>300.0</v>
      </c>
      <c r="AG42" s="76" t="str">
        <f t="shared" si="19"/>
        <v>SI</v>
      </c>
      <c r="AH42" s="76" t="str">
        <f t="shared" si="20"/>
        <v>SI</v>
      </c>
    </row>
    <row r="43" ht="15.75" customHeight="1">
      <c r="B43" s="72">
        <v>34.0</v>
      </c>
      <c r="C43" s="77" t="s">
        <v>91</v>
      </c>
      <c r="D43" s="88">
        <v>4.04</v>
      </c>
      <c r="E43" s="88">
        <v>3.05</v>
      </c>
      <c r="F43" s="88">
        <v>2.7</v>
      </c>
      <c r="G43" s="112">
        <f t="shared" si="21"/>
        <v>0.6436817636</v>
      </c>
      <c r="H43" s="72">
        <v>1.0</v>
      </c>
      <c r="I43" s="72">
        <v>2.0</v>
      </c>
      <c r="J43" s="72">
        <f t="shared" si="22"/>
        <v>3</v>
      </c>
      <c r="K43" s="72">
        <f t="shared" si="23"/>
        <v>9</v>
      </c>
      <c r="L43" s="85">
        <v>282.0</v>
      </c>
      <c r="M43" s="85">
        <v>232.0</v>
      </c>
      <c r="N43" s="85">
        <v>327.0</v>
      </c>
      <c r="O43" s="85">
        <v>392.0</v>
      </c>
      <c r="P43" s="85">
        <v>345.0</v>
      </c>
      <c r="Q43" s="85">
        <v>313.0</v>
      </c>
      <c r="R43" s="85">
        <v>276.0</v>
      </c>
      <c r="S43" s="85">
        <v>266.0</v>
      </c>
      <c r="T43" s="85">
        <v>303.0</v>
      </c>
      <c r="U43" s="86" t="s">
        <v>28</v>
      </c>
      <c r="V43" s="86" t="s">
        <v>28</v>
      </c>
      <c r="W43" s="86" t="s">
        <v>28</v>
      </c>
      <c r="X43" s="86" t="s">
        <v>28</v>
      </c>
      <c r="Y43" s="86" t="s">
        <v>28</v>
      </c>
      <c r="Z43" s="86" t="s">
        <v>28</v>
      </c>
      <c r="AA43" s="86" t="s">
        <v>28</v>
      </c>
      <c r="AB43" s="35">
        <f t="shared" si="15"/>
        <v>304</v>
      </c>
      <c r="AC43" s="35">
        <f t="shared" si="16"/>
        <v>232</v>
      </c>
      <c r="AD43" s="35" t="str">
        <f t="shared" si="17"/>
        <v>&gt;</v>
      </c>
      <c r="AE43" s="35">
        <f t="shared" si="18"/>
        <v>152</v>
      </c>
      <c r="AF43" s="78">
        <v>300.0</v>
      </c>
      <c r="AG43" s="76" t="str">
        <f t="shared" si="19"/>
        <v>SI</v>
      </c>
      <c r="AH43" s="76" t="str">
        <f t="shared" si="20"/>
        <v>SI</v>
      </c>
    </row>
    <row r="44" ht="15.75" customHeight="1">
      <c r="B44" s="72">
        <v>35.0</v>
      </c>
      <c r="C44" s="77" t="s">
        <v>58</v>
      </c>
      <c r="D44" s="72">
        <v>4.67</v>
      </c>
      <c r="E44" s="72">
        <v>4.53</v>
      </c>
      <c r="F44" s="72">
        <v>2.67</v>
      </c>
      <c r="G44" s="112">
        <f t="shared" si="21"/>
        <v>0.8612237421</v>
      </c>
      <c r="H44" s="72">
        <v>1.0</v>
      </c>
      <c r="I44" s="72">
        <v>2.0</v>
      </c>
      <c r="J44" s="72">
        <f t="shared" si="22"/>
        <v>3</v>
      </c>
      <c r="K44" s="72">
        <f t="shared" si="23"/>
        <v>9</v>
      </c>
      <c r="L44" s="85">
        <v>161.0</v>
      </c>
      <c r="M44" s="85">
        <v>155.0</v>
      </c>
      <c r="N44" s="85">
        <v>224.0</v>
      </c>
      <c r="O44" s="85">
        <v>238.0</v>
      </c>
      <c r="P44" s="85">
        <v>171.0</v>
      </c>
      <c r="Q44" s="85">
        <v>157.0</v>
      </c>
      <c r="R44" s="85">
        <v>161.0</v>
      </c>
      <c r="S44" s="85">
        <v>105.0</v>
      </c>
      <c r="T44" s="85">
        <v>122.0</v>
      </c>
      <c r="U44" s="86" t="s">
        <v>28</v>
      </c>
      <c r="V44" s="86" t="s">
        <v>28</v>
      </c>
      <c r="W44" s="86" t="s">
        <v>28</v>
      </c>
      <c r="X44" s="86" t="s">
        <v>28</v>
      </c>
      <c r="Y44" s="86" t="s">
        <v>28</v>
      </c>
      <c r="Z44" s="86" t="s">
        <v>28</v>
      </c>
      <c r="AA44" s="86" t="s">
        <v>28</v>
      </c>
      <c r="AB44" s="35">
        <f t="shared" si="15"/>
        <v>166</v>
      </c>
      <c r="AC44" s="35">
        <f t="shared" si="16"/>
        <v>105</v>
      </c>
      <c r="AD44" s="35" t="str">
        <f t="shared" si="17"/>
        <v>&gt;</v>
      </c>
      <c r="AE44" s="35">
        <f t="shared" si="18"/>
        <v>83</v>
      </c>
      <c r="AF44" s="78">
        <v>300.0</v>
      </c>
      <c r="AG44" s="76" t="str">
        <f t="shared" si="19"/>
        <v>SI</v>
      </c>
      <c r="AH44" s="76" t="str">
        <f t="shared" si="20"/>
        <v>NO</v>
      </c>
    </row>
    <row r="45" ht="15.75" customHeight="1">
      <c r="B45" s="73">
        <v>36.0</v>
      </c>
      <c r="C45" s="77" t="s">
        <v>92</v>
      </c>
      <c r="D45" s="72">
        <v>4.06</v>
      </c>
      <c r="E45" s="72">
        <v>2.84</v>
      </c>
      <c r="F45" s="72">
        <v>2.67</v>
      </c>
      <c r="G45" s="112">
        <f t="shared" si="21"/>
        <v>0.6258698366</v>
      </c>
      <c r="H45" s="72">
        <v>1.0</v>
      </c>
      <c r="I45" s="72">
        <v>2.0</v>
      </c>
      <c r="J45" s="72">
        <f t="shared" si="22"/>
        <v>3</v>
      </c>
      <c r="K45" s="72">
        <f t="shared" si="23"/>
        <v>9</v>
      </c>
      <c r="L45" s="85">
        <v>205.0</v>
      </c>
      <c r="M45" s="85">
        <v>304.0</v>
      </c>
      <c r="N45" s="85">
        <v>225.0</v>
      </c>
      <c r="O45" s="85">
        <v>323.0</v>
      </c>
      <c r="P45" s="85">
        <v>443.0</v>
      </c>
      <c r="Q45" s="85">
        <v>294.0</v>
      </c>
      <c r="R45" s="85">
        <v>309.0</v>
      </c>
      <c r="S45" s="85">
        <v>423.0</v>
      </c>
      <c r="T45" s="85">
        <v>231.0</v>
      </c>
      <c r="U45" s="86" t="s">
        <v>28</v>
      </c>
      <c r="V45" s="86" t="s">
        <v>28</v>
      </c>
      <c r="W45" s="86" t="s">
        <v>28</v>
      </c>
      <c r="X45" s="86" t="s">
        <v>28</v>
      </c>
      <c r="Y45" s="86" t="s">
        <v>28</v>
      </c>
      <c r="Z45" s="86" t="s">
        <v>28</v>
      </c>
      <c r="AA45" s="86" t="s">
        <v>28</v>
      </c>
      <c r="AB45" s="35">
        <f t="shared" si="15"/>
        <v>306.3333333</v>
      </c>
      <c r="AC45" s="35">
        <f t="shared" si="16"/>
        <v>205</v>
      </c>
      <c r="AD45" s="35" t="str">
        <f t="shared" si="17"/>
        <v>&gt;</v>
      </c>
      <c r="AE45" s="35">
        <f t="shared" si="18"/>
        <v>153.1666667</v>
      </c>
      <c r="AF45" s="78">
        <v>300.0</v>
      </c>
      <c r="AG45" s="76" t="str">
        <f t="shared" si="19"/>
        <v>SI</v>
      </c>
      <c r="AH45" s="76" t="str">
        <f t="shared" si="20"/>
        <v>SI</v>
      </c>
    </row>
    <row r="46" ht="15.75" customHeight="1">
      <c r="B46" s="72">
        <v>37.0</v>
      </c>
      <c r="C46" s="77" t="s">
        <v>59</v>
      </c>
      <c r="D46" s="72">
        <v>5.6</v>
      </c>
      <c r="E46" s="72">
        <v>4.18</v>
      </c>
      <c r="F46" s="72">
        <v>3.83</v>
      </c>
      <c r="G46" s="112">
        <f t="shared" si="21"/>
        <v>0.6249232461</v>
      </c>
      <c r="H46" s="72">
        <v>1.0</v>
      </c>
      <c r="I46" s="72">
        <v>2.0</v>
      </c>
      <c r="J46" s="72">
        <f t="shared" si="22"/>
        <v>3</v>
      </c>
      <c r="K46" s="72">
        <f t="shared" si="23"/>
        <v>9</v>
      </c>
      <c r="L46" s="85">
        <v>298.0</v>
      </c>
      <c r="M46" s="85">
        <v>301.0</v>
      </c>
      <c r="N46" s="85">
        <v>251.0</v>
      </c>
      <c r="O46" s="85">
        <v>247.0</v>
      </c>
      <c r="P46" s="85">
        <v>258.0</v>
      </c>
      <c r="Q46" s="85">
        <v>272.0</v>
      </c>
      <c r="R46" s="85">
        <v>275.0</v>
      </c>
      <c r="S46" s="85">
        <v>256.0</v>
      </c>
      <c r="T46" s="85">
        <v>221.0</v>
      </c>
      <c r="U46" s="86" t="s">
        <v>28</v>
      </c>
      <c r="V46" s="86" t="s">
        <v>28</v>
      </c>
      <c r="W46" s="86" t="s">
        <v>28</v>
      </c>
      <c r="X46" s="86" t="s">
        <v>28</v>
      </c>
      <c r="Y46" s="86" t="s">
        <v>28</v>
      </c>
      <c r="Z46" s="86" t="s">
        <v>28</v>
      </c>
      <c r="AA46" s="86" t="s">
        <v>28</v>
      </c>
      <c r="AB46" s="35">
        <f t="shared" si="15"/>
        <v>264.3333333</v>
      </c>
      <c r="AC46" s="35">
        <f t="shared" si="16"/>
        <v>221</v>
      </c>
      <c r="AD46" s="35" t="str">
        <f t="shared" si="17"/>
        <v>&gt;</v>
      </c>
      <c r="AE46" s="35">
        <f t="shared" si="18"/>
        <v>132.1666667</v>
      </c>
      <c r="AF46" s="78">
        <v>300.0</v>
      </c>
      <c r="AG46" s="76" t="str">
        <f t="shared" si="19"/>
        <v>SI</v>
      </c>
      <c r="AH46" s="76" t="str">
        <f t="shared" si="20"/>
        <v>NO</v>
      </c>
    </row>
    <row r="47" ht="15.75" customHeight="1">
      <c r="B47" s="72">
        <v>38.0</v>
      </c>
      <c r="C47" s="77" t="s">
        <v>60</v>
      </c>
      <c r="D47" s="72">
        <v>2.6</v>
      </c>
      <c r="E47" s="72">
        <v>2.1</v>
      </c>
      <c r="F47" s="72">
        <v>5.21</v>
      </c>
      <c r="G47" s="112">
        <f t="shared" si="21"/>
        <v>0.2229754564</v>
      </c>
      <c r="H47" s="72">
        <v>1.0</v>
      </c>
      <c r="I47" s="72">
        <v>2.0</v>
      </c>
      <c r="J47" s="72">
        <f t="shared" si="22"/>
        <v>3</v>
      </c>
      <c r="K47" s="72">
        <f t="shared" si="23"/>
        <v>9</v>
      </c>
      <c r="L47" s="85">
        <v>199.0</v>
      </c>
      <c r="M47" s="85">
        <v>202.0</v>
      </c>
      <c r="N47" s="85">
        <v>212.0</v>
      </c>
      <c r="O47" s="85">
        <v>198.0</v>
      </c>
      <c r="P47" s="85">
        <v>204.0</v>
      </c>
      <c r="Q47" s="85">
        <v>210.0</v>
      </c>
      <c r="R47" s="85">
        <v>199.0</v>
      </c>
      <c r="S47" s="85">
        <v>199.0</v>
      </c>
      <c r="T47" s="85">
        <v>206.0</v>
      </c>
      <c r="U47" s="86" t="s">
        <v>28</v>
      </c>
      <c r="V47" s="86" t="s">
        <v>28</v>
      </c>
      <c r="W47" s="86" t="s">
        <v>28</v>
      </c>
      <c r="X47" s="86" t="s">
        <v>28</v>
      </c>
      <c r="Y47" s="86" t="s">
        <v>28</v>
      </c>
      <c r="Z47" s="86" t="s">
        <v>28</v>
      </c>
      <c r="AA47" s="86" t="s">
        <v>28</v>
      </c>
      <c r="AB47" s="35">
        <f t="shared" si="15"/>
        <v>203.2222222</v>
      </c>
      <c r="AC47" s="35">
        <f t="shared" si="16"/>
        <v>198</v>
      </c>
      <c r="AD47" s="35" t="str">
        <f t="shared" si="17"/>
        <v>&gt;</v>
      </c>
      <c r="AE47" s="35">
        <f t="shared" si="18"/>
        <v>101.6111111</v>
      </c>
      <c r="AF47" s="78">
        <v>200.0</v>
      </c>
      <c r="AG47" s="76" t="str">
        <f t="shared" si="19"/>
        <v>SI</v>
      </c>
      <c r="AH47" s="76" t="str">
        <f t="shared" si="20"/>
        <v>SI</v>
      </c>
    </row>
    <row r="48" ht="15.75" customHeight="1">
      <c r="B48" s="73">
        <v>39.0</v>
      </c>
      <c r="C48" s="77" t="s">
        <v>61</v>
      </c>
      <c r="D48" s="86" t="s">
        <v>28</v>
      </c>
      <c r="E48" s="86" t="s">
        <v>28</v>
      </c>
      <c r="F48" s="86" t="s">
        <v>28</v>
      </c>
      <c r="G48" s="86" t="s">
        <v>28</v>
      </c>
      <c r="H48" s="86" t="s">
        <v>28</v>
      </c>
      <c r="I48" s="86" t="s">
        <v>28</v>
      </c>
      <c r="J48" s="86" t="s">
        <v>28</v>
      </c>
      <c r="K48" s="86" t="s">
        <v>28</v>
      </c>
      <c r="L48" s="85">
        <v>212.0</v>
      </c>
      <c r="M48" s="85">
        <v>202.0</v>
      </c>
      <c r="N48" s="86" t="s">
        <v>28</v>
      </c>
      <c r="O48" s="86" t="s">
        <v>28</v>
      </c>
      <c r="P48" s="86" t="s">
        <v>28</v>
      </c>
      <c r="Q48" s="86" t="s">
        <v>28</v>
      </c>
      <c r="R48" s="86" t="s">
        <v>28</v>
      </c>
      <c r="S48" s="86" t="s">
        <v>28</v>
      </c>
      <c r="T48" s="86" t="s">
        <v>28</v>
      </c>
      <c r="U48" s="86" t="s">
        <v>28</v>
      </c>
      <c r="V48" s="86" t="s">
        <v>28</v>
      </c>
      <c r="W48" s="86" t="s">
        <v>28</v>
      </c>
      <c r="X48" s="86" t="s">
        <v>28</v>
      </c>
      <c r="Y48" s="86" t="s">
        <v>28</v>
      </c>
      <c r="Z48" s="86" t="s">
        <v>28</v>
      </c>
      <c r="AA48" s="86" t="s">
        <v>28</v>
      </c>
      <c r="AB48" s="35">
        <f t="shared" si="15"/>
        <v>207</v>
      </c>
      <c r="AC48" s="35">
        <f t="shared" si="16"/>
        <v>202</v>
      </c>
      <c r="AD48" s="35" t="str">
        <f t="shared" si="17"/>
        <v>&gt;</v>
      </c>
      <c r="AE48" s="35">
        <f t="shared" si="18"/>
        <v>103.5</v>
      </c>
      <c r="AF48" s="78">
        <v>200.0</v>
      </c>
      <c r="AG48" s="76" t="str">
        <f t="shared" si="19"/>
        <v>SI</v>
      </c>
      <c r="AH48" s="76" t="str">
        <f t="shared" si="20"/>
        <v>SI</v>
      </c>
    </row>
    <row r="49" ht="15.75" customHeight="1">
      <c r="B49" s="72">
        <v>40.0</v>
      </c>
      <c r="C49" s="77" t="s">
        <v>62</v>
      </c>
      <c r="D49" s="72">
        <v>0.297</v>
      </c>
      <c r="E49" s="72">
        <v>3.0</v>
      </c>
      <c r="F49" s="72">
        <v>2.7</v>
      </c>
      <c r="G49" s="112">
        <f>+(D49*E49)/(F49*(D49+E49))</f>
        <v>0.1000909918</v>
      </c>
      <c r="H49" s="72">
        <v>1.0</v>
      </c>
      <c r="I49" s="72">
        <v>2.0</v>
      </c>
      <c r="J49" s="72">
        <f>+H49+I49</f>
        <v>3</v>
      </c>
      <c r="K49" s="72">
        <f>POWER(J49,2)</f>
        <v>9</v>
      </c>
      <c r="L49" s="85">
        <v>411.0</v>
      </c>
      <c r="M49" s="85">
        <v>365.0</v>
      </c>
      <c r="N49" s="85">
        <v>391.0</v>
      </c>
      <c r="O49" s="85">
        <v>363.0</v>
      </c>
      <c r="P49" s="85">
        <v>451.0</v>
      </c>
      <c r="Q49" s="85">
        <v>456.0</v>
      </c>
      <c r="R49" s="85">
        <v>419.0</v>
      </c>
      <c r="S49" s="85">
        <v>370.0</v>
      </c>
      <c r="T49" s="85">
        <v>381.0</v>
      </c>
      <c r="U49" s="86" t="s">
        <v>28</v>
      </c>
      <c r="V49" s="86" t="s">
        <v>28</v>
      </c>
      <c r="W49" s="86" t="s">
        <v>28</v>
      </c>
      <c r="X49" s="86" t="s">
        <v>28</v>
      </c>
      <c r="Y49" s="86" t="s">
        <v>28</v>
      </c>
      <c r="Z49" s="86" t="s">
        <v>28</v>
      </c>
      <c r="AA49" s="86" t="s">
        <v>28</v>
      </c>
      <c r="AB49" s="35">
        <f t="shared" si="15"/>
        <v>400.7777778</v>
      </c>
      <c r="AC49" s="35">
        <f t="shared" si="16"/>
        <v>363</v>
      </c>
      <c r="AD49" s="35" t="str">
        <f t="shared" si="17"/>
        <v>&gt;</v>
      </c>
      <c r="AE49" s="35">
        <f t="shared" si="18"/>
        <v>200.3888889</v>
      </c>
      <c r="AF49" s="78">
        <v>300.0</v>
      </c>
      <c r="AG49" s="76" t="str">
        <f t="shared" si="19"/>
        <v>SI</v>
      </c>
      <c r="AH49" s="76" t="str">
        <f t="shared" si="20"/>
        <v>SI</v>
      </c>
    </row>
    <row r="50" ht="15.75" customHeight="1">
      <c r="B50" s="72">
        <v>41.0</v>
      </c>
      <c r="C50" s="77" t="s">
        <v>63</v>
      </c>
      <c r="D50" s="86" t="s">
        <v>28</v>
      </c>
      <c r="E50" s="86" t="s">
        <v>28</v>
      </c>
      <c r="F50" s="86" t="s">
        <v>28</v>
      </c>
      <c r="G50" s="86" t="s">
        <v>28</v>
      </c>
      <c r="H50" s="86" t="s">
        <v>28</v>
      </c>
      <c r="I50" s="86" t="s">
        <v>28</v>
      </c>
      <c r="J50" s="86" t="s">
        <v>28</v>
      </c>
      <c r="K50" s="86" t="s">
        <v>28</v>
      </c>
      <c r="L50" s="85">
        <v>282.0</v>
      </c>
      <c r="M50" s="85">
        <v>311.0</v>
      </c>
      <c r="N50" s="86" t="s">
        <v>28</v>
      </c>
      <c r="O50" s="86" t="s">
        <v>28</v>
      </c>
      <c r="P50" s="86" t="s">
        <v>28</v>
      </c>
      <c r="Q50" s="86" t="s">
        <v>28</v>
      </c>
      <c r="R50" s="86" t="s">
        <v>28</v>
      </c>
      <c r="S50" s="86" t="s">
        <v>28</v>
      </c>
      <c r="T50" s="86" t="s">
        <v>28</v>
      </c>
      <c r="U50" s="86" t="s">
        <v>28</v>
      </c>
      <c r="V50" s="86" t="s">
        <v>28</v>
      </c>
      <c r="W50" s="86" t="s">
        <v>28</v>
      </c>
      <c r="X50" s="86" t="s">
        <v>28</v>
      </c>
      <c r="Y50" s="86" t="s">
        <v>28</v>
      </c>
      <c r="Z50" s="86" t="s">
        <v>28</v>
      </c>
      <c r="AA50" s="86" t="s">
        <v>28</v>
      </c>
      <c r="AB50" s="35">
        <f t="shared" si="15"/>
        <v>296.5</v>
      </c>
      <c r="AC50" s="35">
        <f t="shared" si="16"/>
        <v>282</v>
      </c>
      <c r="AD50" s="35" t="str">
        <f t="shared" si="17"/>
        <v>&gt;</v>
      </c>
      <c r="AE50" s="35">
        <f t="shared" si="18"/>
        <v>148.25</v>
      </c>
      <c r="AF50" s="78">
        <v>100.0</v>
      </c>
      <c r="AG50" s="76" t="str">
        <f t="shared" si="19"/>
        <v>SI</v>
      </c>
      <c r="AH50" s="76" t="str">
        <f t="shared" si="20"/>
        <v>SI</v>
      </c>
    </row>
    <row r="51" ht="15.75" customHeight="1">
      <c r="B51" s="73">
        <v>42.0</v>
      </c>
      <c r="C51" s="77" t="s">
        <v>64</v>
      </c>
      <c r="D51" s="72">
        <v>3.94</v>
      </c>
      <c r="E51" s="72">
        <v>3.35</v>
      </c>
      <c r="F51" s="72">
        <v>3.32</v>
      </c>
      <c r="G51" s="112">
        <f>+(D51*E51)/(F51*(D51+E51))</f>
        <v>0.5453501248</v>
      </c>
      <c r="H51" s="72">
        <v>1.0</v>
      </c>
      <c r="I51" s="72">
        <v>2.0</v>
      </c>
      <c r="J51" s="72">
        <f>+H51+I51</f>
        <v>3</v>
      </c>
      <c r="K51" s="72">
        <f>POWER(J51,2)</f>
        <v>9</v>
      </c>
      <c r="L51" s="85">
        <v>117.0</v>
      </c>
      <c r="M51" s="85">
        <v>112.0</v>
      </c>
      <c r="N51" s="85">
        <v>106.0</v>
      </c>
      <c r="O51" s="85">
        <v>133.0</v>
      </c>
      <c r="P51" s="85">
        <v>154.0</v>
      </c>
      <c r="Q51" s="85">
        <v>165.0</v>
      </c>
      <c r="R51" s="85">
        <v>232.0</v>
      </c>
      <c r="S51" s="85">
        <v>211.0</v>
      </c>
      <c r="T51" s="85">
        <v>268.0</v>
      </c>
      <c r="U51" s="86" t="s">
        <v>28</v>
      </c>
      <c r="V51" s="86" t="s">
        <v>28</v>
      </c>
      <c r="W51" s="86" t="s">
        <v>28</v>
      </c>
      <c r="X51" s="86" t="s">
        <v>28</v>
      </c>
      <c r="Y51" s="86" t="s">
        <v>28</v>
      </c>
      <c r="Z51" s="86" t="s">
        <v>28</v>
      </c>
      <c r="AA51" s="86" t="s">
        <v>28</v>
      </c>
      <c r="AB51" s="35">
        <f t="shared" si="15"/>
        <v>166.4444444</v>
      </c>
      <c r="AC51" s="35">
        <f t="shared" si="16"/>
        <v>106</v>
      </c>
      <c r="AD51" s="35" t="str">
        <f t="shared" si="17"/>
        <v>&gt;</v>
      </c>
      <c r="AE51" s="35">
        <f t="shared" si="18"/>
        <v>83.22222222</v>
      </c>
      <c r="AF51" s="78">
        <v>300.0</v>
      </c>
      <c r="AG51" s="76" t="str">
        <f t="shared" si="19"/>
        <v>SI</v>
      </c>
      <c r="AH51" s="76" t="str">
        <f t="shared" si="20"/>
        <v>NO</v>
      </c>
    </row>
    <row r="52" ht="15.75" customHeight="1">
      <c r="B52" s="72">
        <v>43.0</v>
      </c>
      <c r="C52" s="77" t="s">
        <v>65</v>
      </c>
      <c r="D52" s="86" t="s">
        <v>28</v>
      </c>
      <c r="E52" s="86" t="s">
        <v>28</v>
      </c>
      <c r="F52" s="86" t="s">
        <v>28</v>
      </c>
      <c r="G52" s="86" t="s">
        <v>28</v>
      </c>
      <c r="H52" s="86" t="s">
        <v>28</v>
      </c>
      <c r="I52" s="86" t="s">
        <v>28</v>
      </c>
      <c r="J52" s="86" t="s">
        <v>28</v>
      </c>
      <c r="K52" s="86" t="s">
        <v>28</v>
      </c>
      <c r="L52" s="85">
        <v>275.0</v>
      </c>
      <c r="M52" s="85">
        <v>322.0</v>
      </c>
      <c r="N52" s="86" t="s">
        <v>28</v>
      </c>
      <c r="O52" s="86" t="s">
        <v>28</v>
      </c>
      <c r="P52" s="86" t="s">
        <v>28</v>
      </c>
      <c r="Q52" s="86" t="s">
        <v>28</v>
      </c>
      <c r="R52" s="86" t="s">
        <v>28</v>
      </c>
      <c r="S52" s="86" t="s">
        <v>28</v>
      </c>
      <c r="T52" s="86" t="s">
        <v>28</v>
      </c>
      <c r="U52" s="86" t="s">
        <v>28</v>
      </c>
      <c r="V52" s="86" t="s">
        <v>28</v>
      </c>
      <c r="W52" s="86" t="s">
        <v>28</v>
      </c>
      <c r="X52" s="86" t="s">
        <v>28</v>
      </c>
      <c r="Y52" s="86" t="s">
        <v>28</v>
      </c>
      <c r="Z52" s="86" t="s">
        <v>28</v>
      </c>
      <c r="AA52" s="86" t="s">
        <v>28</v>
      </c>
      <c r="AB52" s="35">
        <f t="shared" si="15"/>
        <v>298.5</v>
      </c>
      <c r="AC52" s="35">
        <f t="shared" si="16"/>
        <v>275</v>
      </c>
      <c r="AD52" s="35" t="str">
        <f t="shared" si="17"/>
        <v>&gt;</v>
      </c>
      <c r="AE52" s="35">
        <f t="shared" si="18"/>
        <v>149.25</v>
      </c>
      <c r="AF52" s="78">
        <v>100.0</v>
      </c>
      <c r="AG52" s="76" t="str">
        <f t="shared" si="19"/>
        <v>SI</v>
      </c>
      <c r="AH52" s="76" t="str">
        <f t="shared" si="20"/>
        <v>SI</v>
      </c>
    </row>
    <row r="53" ht="15.75" customHeight="1">
      <c r="B53" s="72">
        <v>44.0</v>
      </c>
      <c r="C53" s="77" t="s">
        <v>93</v>
      </c>
      <c r="D53" s="86" t="s">
        <v>28</v>
      </c>
      <c r="E53" s="86" t="s">
        <v>28</v>
      </c>
      <c r="F53" s="86" t="s">
        <v>28</v>
      </c>
      <c r="G53" s="86" t="s">
        <v>28</v>
      </c>
      <c r="H53" s="86" t="s">
        <v>28</v>
      </c>
      <c r="I53" s="86" t="s">
        <v>28</v>
      </c>
      <c r="J53" s="86" t="s">
        <v>28</v>
      </c>
      <c r="K53" s="86" t="s">
        <v>28</v>
      </c>
      <c r="L53" s="85">
        <v>329.0</v>
      </c>
      <c r="M53" s="85">
        <v>158.0</v>
      </c>
      <c r="N53" s="86" t="s">
        <v>28</v>
      </c>
      <c r="O53" s="86" t="s">
        <v>28</v>
      </c>
      <c r="P53" s="86" t="s">
        <v>28</v>
      </c>
      <c r="Q53" s="86" t="s">
        <v>28</v>
      </c>
      <c r="R53" s="86" t="s">
        <v>28</v>
      </c>
      <c r="S53" s="86" t="s">
        <v>28</v>
      </c>
      <c r="T53" s="86" t="s">
        <v>28</v>
      </c>
      <c r="U53" s="86" t="s">
        <v>28</v>
      </c>
      <c r="V53" s="86" t="s">
        <v>28</v>
      </c>
      <c r="W53" s="86" t="s">
        <v>28</v>
      </c>
      <c r="X53" s="86" t="s">
        <v>28</v>
      </c>
      <c r="Y53" s="86" t="s">
        <v>28</v>
      </c>
      <c r="Z53" s="86" t="s">
        <v>28</v>
      </c>
      <c r="AA53" s="86" t="s">
        <v>28</v>
      </c>
      <c r="AB53" s="35">
        <f t="shared" si="15"/>
        <v>243.5</v>
      </c>
      <c r="AC53" s="35">
        <f t="shared" si="16"/>
        <v>158</v>
      </c>
      <c r="AD53" s="35" t="str">
        <f t="shared" si="17"/>
        <v>&gt;</v>
      </c>
      <c r="AE53" s="35">
        <f t="shared" si="18"/>
        <v>121.75</v>
      </c>
      <c r="AF53" s="78">
        <v>100.0</v>
      </c>
      <c r="AG53" s="76" t="str">
        <f t="shared" si="19"/>
        <v>SI</v>
      </c>
      <c r="AH53" s="76" t="str">
        <f t="shared" si="20"/>
        <v>SI</v>
      </c>
    </row>
    <row r="54" ht="15.75" customHeight="1">
      <c r="B54" s="73">
        <v>45.0</v>
      </c>
      <c r="C54" s="77" t="s">
        <v>98</v>
      </c>
      <c r="D54" s="86" t="s">
        <v>28</v>
      </c>
      <c r="E54" s="86" t="s">
        <v>28</v>
      </c>
      <c r="F54" s="86" t="s">
        <v>28</v>
      </c>
      <c r="G54" s="86" t="s">
        <v>28</v>
      </c>
      <c r="H54" s="86" t="s">
        <v>28</v>
      </c>
      <c r="I54" s="86" t="s">
        <v>28</v>
      </c>
      <c r="J54" s="86" t="s">
        <v>28</v>
      </c>
      <c r="K54" s="86" t="s">
        <v>28</v>
      </c>
      <c r="L54" s="85">
        <v>353.0</v>
      </c>
      <c r="M54" s="85">
        <v>322.0</v>
      </c>
      <c r="N54" s="86" t="s">
        <v>28</v>
      </c>
      <c r="O54" s="86" t="s">
        <v>28</v>
      </c>
      <c r="P54" s="86" t="s">
        <v>28</v>
      </c>
      <c r="Q54" s="86" t="s">
        <v>28</v>
      </c>
      <c r="R54" s="86" t="s">
        <v>28</v>
      </c>
      <c r="S54" s="86" t="s">
        <v>28</v>
      </c>
      <c r="T54" s="86" t="s">
        <v>28</v>
      </c>
      <c r="U54" s="86" t="s">
        <v>28</v>
      </c>
      <c r="V54" s="86" t="s">
        <v>28</v>
      </c>
      <c r="W54" s="86" t="s">
        <v>28</v>
      </c>
      <c r="X54" s="86" t="s">
        <v>28</v>
      </c>
      <c r="Y54" s="86" t="s">
        <v>28</v>
      </c>
      <c r="Z54" s="86" t="s">
        <v>28</v>
      </c>
      <c r="AA54" s="86" t="s">
        <v>28</v>
      </c>
      <c r="AB54" s="35">
        <f t="shared" si="15"/>
        <v>337.5</v>
      </c>
      <c r="AC54" s="35">
        <f t="shared" si="16"/>
        <v>322</v>
      </c>
      <c r="AD54" s="35" t="str">
        <f t="shared" si="17"/>
        <v>&gt;</v>
      </c>
      <c r="AE54" s="35">
        <f t="shared" si="18"/>
        <v>168.75</v>
      </c>
      <c r="AF54" s="78">
        <v>500.0</v>
      </c>
      <c r="AG54" s="76" t="str">
        <f t="shared" si="19"/>
        <v>SI</v>
      </c>
      <c r="AH54" s="76" t="str">
        <f t="shared" si="20"/>
        <v>NO</v>
      </c>
    </row>
    <row r="55" ht="15.75" customHeight="1">
      <c r="B55" s="72">
        <v>46.0</v>
      </c>
      <c r="C55" s="77" t="s">
        <v>66</v>
      </c>
      <c r="D55" s="72">
        <v>3.78</v>
      </c>
      <c r="E55" s="72">
        <v>2.67</v>
      </c>
      <c r="F55" s="72">
        <v>4.25</v>
      </c>
      <c r="G55" s="112">
        <f>+(D55*E55)/(F55*(D55+E55))</f>
        <v>0.3681751026</v>
      </c>
      <c r="H55" s="72">
        <v>1.0</v>
      </c>
      <c r="I55" s="72">
        <v>2.0</v>
      </c>
      <c r="J55" s="72">
        <f>+H55+I55</f>
        <v>3</v>
      </c>
      <c r="K55" s="72">
        <f>POWER(J55,2)</f>
        <v>9</v>
      </c>
      <c r="L55" s="85">
        <v>365.0</v>
      </c>
      <c r="M55" s="85">
        <v>445.0</v>
      </c>
      <c r="N55" s="85">
        <v>391.0</v>
      </c>
      <c r="O55" s="85">
        <v>489.0</v>
      </c>
      <c r="P55" s="85">
        <v>399.0</v>
      </c>
      <c r="Q55" s="85">
        <v>365.0</v>
      </c>
      <c r="R55" s="85">
        <v>423.0</v>
      </c>
      <c r="S55" s="85">
        <v>407.0</v>
      </c>
      <c r="T55" s="85">
        <v>451.0</v>
      </c>
      <c r="U55" s="86" t="s">
        <v>28</v>
      </c>
      <c r="V55" s="86" t="s">
        <v>28</v>
      </c>
      <c r="W55" s="86" t="s">
        <v>28</v>
      </c>
      <c r="X55" s="86" t="s">
        <v>28</v>
      </c>
      <c r="Y55" s="86" t="s">
        <v>28</v>
      </c>
      <c r="Z55" s="86" t="s">
        <v>28</v>
      </c>
      <c r="AA55" s="86" t="s">
        <v>28</v>
      </c>
      <c r="AB55" s="35">
        <f t="shared" si="15"/>
        <v>415</v>
      </c>
      <c r="AC55" s="35">
        <f t="shared" si="16"/>
        <v>365</v>
      </c>
      <c r="AD55" s="35" t="str">
        <f t="shared" si="17"/>
        <v>&gt;</v>
      </c>
      <c r="AE55" s="35">
        <f t="shared" si="18"/>
        <v>207.5</v>
      </c>
      <c r="AF55" s="78">
        <v>300.0</v>
      </c>
      <c r="AG55" s="76" t="str">
        <f t="shared" si="19"/>
        <v>SI</v>
      </c>
      <c r="AH55" s="76" t="str">
        <f t="shared" si="20"/>
        <v>SI</v>
      </c>
    </row>
    <row r="56" ht="15.75" customHeight="1">
      <c r="B56" s="72">
        <v>47.0</v>
      </c>
      <c r="C56" s="77" t="s">
        <v>99</v>
      </c>
      <c r="D56" s="86" t="s">
        <v>28</v>
      </c>
      <c r="E56" s="86" t="s">
        <v>28</v>
      </c>
      <c r="F56" s="86" t="s">
        <v>28</v>
      </c>
      <c r="G56" s="86" t="s">
        <v>28</v>
      </c>
      <c r="H56" s="86" t="s">
        <v>28</v>
      </c>
      <c r="I56" s="86" t="s">
        <v>28</v>
      </c>
      <c r="J56" s="86" t="s">
        <v>28</v>
      </c>
      <c r="K56" s="86" t="s">
        <v>28</v>
      </c>
      <c r="L56" s="85">
        <v>44.0</v>
      </c>
      <c r="M56" s="85">
        <v>54.0</v>
      </c>
      <c r="N56" s="86" t="s">
        <v>28</v>
      </c>
      <c r="O56" s="86" t="s">
        <v>28</v>
      </c>
      <c r="P56" s="86" t="s">
        <v>28</v>
      </c>
      <c r="Q56" s="86" t="s">
        <v>28</v>
      </c>
      <c r="R56" s="86" t="s">
        <v>28</v>
      </c>
      <c r="S56" s="86" t="s">
        <v>28</v>
      </c>
      <c r="T56" s="86" t="s">
        <v>28</v>
      </c>
      <c r="U56" s="86" t="s">
        <v>28</v>
      </c>
      <c r="V56" s="86" t="s">
        <v>28</v>
      </c>
      <c r="W56" s="86" t="s">
        <v>28</v>
      </c>
      <c r="X56" s="86" t="s">
        <v>28</v>
      </c>
      <c r="Y56" s="86" t="s">
        <v>28</v>
      </c>
      <c r="Z56" s="86" t="s">
        <v>28</v>
      </c>
      <c r="AA56" s="86" t="s">
        <v>28</v>
      </c>
      <c r="AB56" s="35">
        <f t="shared" si="15"/>
        <v>49</v>
      </c>
      <c r="AC56" s="35">
        <f t="shared" si="16"/>
        <v>44</v>
      </c>
      <c r="AD56" s="35" t="str">
        <f t="shared" si="17"/>
        <v>&gt;</v>
      </c>
      <c r="AE56" s="35">
        <f t="shared" si="18"/>
        <v>24.5</v>
      </c>
      <c r="AF56" s="78">
        <v>200.0</v>
      </c>
      <c r="AG56" s="76" t="str">
        <f t="shared" si="19"/>
        <v>SI</v>
      </c>
      <c r="AH56" s="76" t="str">
        <f t="shared" si="20"/>
        <v>NO</v>
      </c>
    </row>
    <row r="57" ht="15.75" customHeight="1">
      <c r="B57" s="73">
        <v>48.0</v>
      </c>
      <c r="C57" s="77" t="s">
        <v>67</v>
      </c>
      <c r="D57" s="72">
        <v>7.77</v>
      </c>
      <c r="E57" s="72">
        <v>4.19</v>
      </c>
      <c r="F57" s="72">
        <v>2.94</v>
      </c>
      <c r="G57" s="112">
        <f t="shared" ref="G57:G60" si="24">+(D57*E57)/(F57*(D57+E57))</f>
        <v>0.9258838987</v>
      </c>
      <c r="H57" s="72">
        <v>1.0</v>
      </c>
      <c r="I57" s="72">
        <v>2.0</v>
      </c>
      <c r="J57" s="72">
        <f t="shared" ref="J57:J60" si="25">+H57+I57</f>
        <v>3</v>
      </c>
      <c r="K57" s="72">
        <f t="shared" ref="K57:K60" si="26">POWER(J57,2)</f>
        <v>9</v>
      </c>
      <c r="L57" s="85">
        <v>438.0</v>
      </c>
      <c r="M57" s="85">
        <v>418.0</v>
      </c>
      <c r="N57" s="85">
        <v>443.0</v>
      </c>
      <c r="O57" s="85">
        <v>555.0</v>
      </c>
      <c r="P57" s="85">
        <v>492.0</v>
      </c>
      <c r="Q57" s="85">
        <v>439.0</v>
      </c>
      <c r="R57" s="85">
        <v>391.0</v>
      </c>
      <c r="S57" s="85">
        <v>385.0</v>
      </c>
      <c r="T57" s="85">
        <v>370.0</v>
      </c>
      <c r="U57" s="86" t="s">
        <v>28</v>
      </c>
      <c r="V57" s="86" t="s">
        <v>28</v>
      </c>
      <c r="W57" s="86" t="s">
        <v>28</v>
      </c>
      <c r="X57" s="86" t="s">
        <v>28</v>
      </c>
      <c r="Y57" s="86" t="s">
        <v>28</v>
      </c>
      <c r="Z57" s="86" t="s">
        <v>28</v>
      </c>
      <c r="AA57" s="86" t="s">
        <v>28</v>
      </c>
      <c r="AB57" s="35">
        <f t="shared" si="15"/>
        <v>436.7777778</v>
      </c>
      <c r="AC57" s="35">
        <f t="shared" si="16"/>
        <v>370</v>
      </c>
      <c r="AD57" s="35" t="str">
        <f t="shared" si="17"/>
        <v>&gt;</v>
      </c>
      <c r="AE57" s="35">
        <f t="shared" si="18"/>
        <v>218.3888889</v>
      </c>
      <c r="AF57" s="78">
        <v>500.0</v>
      </c>
      <c r="AG57" s="76" t="str">
        <f t="shared" si="19"/>
        <v>SI</v>
      </c>
      <c r="AH57" s="76" t="str">
        <f t="shared" si="20"/>
        <v>NO</v>
      </c>
    </row>
    <row r="58" ht="15.75" customHeight="1">
      <c r="B58" s="72">
        <v>49.0</v>
      </c>
      <c r="C58" s="77" t="s">
        <v>68</v>
      </c>
      <c r="D58" s="72">
        <v>2.63</v>
      </c>
      <c r="E58" s="72">
        <v>4.18</v>
      </c>
      <c r="F58" s="72">
        <v>2.94</v>
      </c>
      <c r="G58" s="112">
        <f t="shared" si="24"/>
        <v>0.5490824817</v>
      </c>
      <c r="H58" s="72">
        <v>1.0</v>
      </c>
      <c r="I58" s="72">
        <v>2.0</v>
      </c>
      <c r="J58" s="72">
        <f t="shared" si="25"/>
        <v>3</v>
      </c>
      <c r="K58" s="72">
        <f t="shared" si="26"/>
        <v>9</v>
      </c>
      <c r="L58" s="85">
        <v>537.0</v>
      </c>
      <c r="M58" s="85">
        <v>455.0</v>
      </c>
      <c r="N58" s="85">
        <v>510.0</v>
      </c>
      <c r="O58" s="85">
        <v>502.0</v>
      </c>
      <c r="P58" s="85">
        <v>500.0</v>
      </c>
      <c r="Q58" s="85">
        <v>493.0</v>
      </c>
      <c r="R58" s="85">
        <v>541.0</v>
      </c>
      <c r="S58" s="85">
        <v>524.0</v>
      </c>
      <c r="T58" s="85">
        <v>498.0</v>
      </c>
      <c r="U58" s="86" t="s">
        <v>28</v>
      </c>
      <c r="V58" s="86" t="s">
        <v>28</v>
      </c>
      <c r="W58" s="86" t="s">
        <v>28</v>
      </c>
      <c r="X58" s="86" t="s">
        <v>28</v>
      </c>
      <c r="Y58" s="86" t="s">
        <v>28</v>
      </c>
      <c r="Z58" s="86" t="s">
        <v>28</v>
      </c>
      <c r="AA58" s="86" t="s">
        <v>28</v>
      </c>
      <c r="AB58" s="35">
        <f t="shared" si="15"/>
        <v>506.6666667</v>
      </c>
      <c r="AC58" s="35">
        <f t="shared" si="16"/>
        <v>455</v>
      </c>
      <c r="AD58" s="35" t="str">
        <f t="shared" si="17"/>
        <v>&gt;</v>
      </c>
      <c r="AE58" s="35">
        <f t="shared" si="18"/>
        <v>253.3333333</v>
      </c>
      <c r="AF58" s="78">
        <v>300.0</v>
      </c>
      <c r="AG58" s="76" t="str">
        <f t="shared" si="19"/>
        <v>SI</v>
      </c>
      <c r="AH58" s="76" t="str">
        <f t="shared" si="20"/>
        <v>SI</v>
      </c>
    </row>
    <row r="59" ht="15.75" customHeight="1">
      <c r="B59" s="72">
        <v>50.0</v>
      </c>
      <c r="C59" s="77" t="s">
        <v>69</v>
      </c>
      <c r="D59" s="72">
        <v>2.75</v>
      </c>
      <c r="E59" s="72">
        <v>4.21</v>
      </c>
      <c r="F59" s="72">
        <v>2.94</v>
      </c>
      <c r="G59" s="112">
        <f t="shared" si="24"/>
        <v>0.5657938463</v>
      </c>
      <c r="H59" s="72">
        <v>1.0</v>
      </c>
      <c r="I59" s="72">
        <v>2.0</v>
      </c>
      <c r="J59" s="72">
        <f t="shared" si="25"/>
        <v>3</v>
      </c>
      <c r="K59" s="72">
        <f t="shared" si="26"/>
        <v>9</v>
      </c>
      <c r="L59" s="85">
        <v>288.0</v>
      </c>
      <c r="M59" s="85">
        <v>305.0</v>
      </c>
      <c r="N59" s="85">
        <v>289.0</v>
      </c>
      <c r="O59" s="85">
        <v>299.0</v>
      </c>
      <c r="P59" s="85">
        <v>317.0</v>
      </c>
      <c r="Q59" s="85">
        <v>316.0</v>
      </c>
      <c r="R59" s="85">
        <v>340.0</v>
      </c>
      <c r="S59" s="85">
        <v>342.0</v>
      </c>
      <c r="T59" s="85">
        <v>311.0</v>
      </c>
      <c r="U59" s="86" t="s">
        <v>28</v>
      </c>
      <c r="V59" s="86" t="s">
        <v>28</v>
      </c>
      <c r="W59" s="86" t="s">
        <v>28</v>
      </c>
      <c r="X59" s="86" t="s">
        <v>28</v>
      </c>
      <c r="Y59" s="86" t="s">
        <v>28</v>
      </c>
      <c r="Z59" s="86" t="s">
        <v>28</v>
      </c>
      <c r="AA59" s="86" t="s">
        <v>28</v>
      </c>
      <c r="AB59" s="35">
        <f t="shared" si="15"/>
        <v>311.8888889</v>
      </c>
      <c r="AC59" s="35">
        <f t="shared" si="16"/>
        <v>288</v>
      </c>
      <c r="AD59" s="35" t="str">
        <f t="shared" si="17"/>
        <v>&gt;</v>
      </c>
      <c r="AE59" s="35">
        <f t="shared" si="18"/>
        <v>155.9444444</v>
      </c>
      <c r="AF59" s="78">
        <v>50.0</v>
      </c>
      <c r="AG59" s="76" t="str">
        <f t="shared" si="19"/>
        <v>SI</v>
      </c>
      <c r="AH59" s="76" t="str">
        <f t="shared" si="20"/>
        <v>SI</v>
      </c>
    </row>
    <row r="60" ht="15.75" customHeight="1">
      <c r="B60" s="72">
        <v>51.0</v>
      </c>
      <c r="C60" s="77" t="s">
        <v>84</v>
      </c>
      <c r="D60" s="72">
        <v>7.09</v>
      </c>
      <c r="E60" s="72">
        <v>7.72</v>
      </c>
      <c r="F60" s="72">
        <v>3.0</v>
      </c>
      <c r="G60" s="81">
        <f t="shared" si="24"/>
        <v>1.231933378</v>
      </c>
      <c r="H60" s="72">
        <v>1.0</v>
      </c>
      <c r="I60" s="72">
        <v>2.0</v>
      </c>
      <c r="J60" s="72">
        <f t="shared" si="25"/>
        <v>3</v>
      </c>
      <c r="K60" s="72">
        <f t="shared" si="26"/>
        <v>9</v>
      </c>
      <c r="L60" s="85">
        <v>1155.0</v>
      </c>
      <c r="M60" s="85">
        <v>997.0</v>
      </c>
      <c r="N60" s="85">
        <v>301.0</v>
      </c>
      <c r="O60" s="85">
        <v>350.0</v>
      </c>
      <c r="P60" s="85">
        <v>290.0</v>
      </c>
      <c r="Q60" s="85">
        <v>247.0</v>
      </c>
      <c r="R60" s="85">
        <v>351.0</v>
      </c>
      <c r="S60" s="85">
        <v>2958.0</v>
      </c>
      <c r="T60" s="85">
        <v>2859.0</v>
      </c>
      <c r="U60" s="86" t="s">
        <v>28</v>
      </c>
      <c r="V60" s="86" t="s">
        <v>28</v>
      </c>
      <c r="W60" s="86" t="s">
        <v>28</v>
      </c>
      <c r="X60" s="86" t="s">
        <v>28</v>
      </c>
      <c r="Y60" s="86" t="s">
        <v>28</v>
      </c>
      <c r="Z60" s="86" t="s">
        <v>28</v>
      </c>
      <c r="AA60" s="86" t="s">
        <v>28</v>
      </c>
      <c r="AB60" s="35">
        <f t="shared" si="15"/>
        <v>1056.444444</v>
      </c>
      <c r="AC60" s="35">
        <f t="shared" si="16"/>
        <v>247</v>
      </c>
      <c r="AD60" s="35" t="str">
        <f t="shared" si="17"/>
        <v>&lt;</v>
      </c>
      <c r="AE60" s="35">
        <f t="shared" si="18"/>
        <v>528.2222222</v>
      </c>
      <c r="AF60" s="78">
        <v>300.0</v>
      </c>
      <c r="AG60" s="76" t="str">
        <f t="shared" si="19"/>
        <v>NO</v>
      </c>
      <c r="AH60" s="76" t="str">
        <f t="shared" si="20"/>
        <v>SI</v>
      </c>
    </row>
    <row r="61" ht="15.75" customHeight="1">
      <c r="B61" s="72">
        <v>52.0</v>
      </c>
      <c r="C61" s="77" t="s">
        <v>100</v>
      </c>
      <c r="D61" s="86" t="s">
        <v>28</v>
      </c>
      <c r="E61" s="86" t="s">
        <v>28</v>
      </c>
      <c r="F61" s="86" t="s">
        <v>28</v>
      </c>
      <c r="G61" s="86" t="s">
        <v>28</v>
      </c>
      <c r="H61" s="86" t="s">
        <v>28</v>
      </c>
      <c r="I61" s="86" t="s">
        <v>28</v>
      </c>
      <c r="J61" s="86" t="s">
        <v>28</v>
      </c>
      <c r="K61" s="86" t="s">
        <v>28</v>
      </c>
      <c r="L61" s="85">
        <v>699.0</v>
      </c>
      <c r="M61" s="85">
        <v>616.0</v>
      </c>
      <c r="N61" s="86" t="s">
        <v>28</v>
      </c>
      <c r="O61" s="86" t="s">
        <v>28</v>
      </c>
      <c r="P61" s="86" t="s">
        <v>28</v>
      </c>
      <c r="Q61" s="86" t="s">
        <v>28</v>
      </c>
      <c r="R61" s="86" t="s">
        <v>28</v>
      </c>
      <c r="S61" s="86" t="s">
        <v>28</v>
      </c>
      <c r="T61" s="86" t="s">
        <v>28</v>
      </c>
      <c r="U61" s="86" t="s">
        <v>28</v>
      </c>
      <c r="V61" s="86" t="s">
        <v>28</v>
      </c>
      <c r="W61" s="86" t="s">
        <v>28</v>
      </c>
      <c r="X61" s="86" t="s">
        <v>28</v>
      </c>
      <c r="Y61" s="86" t="s">
        <v>28</v>
      </c>
      <c r="Z61" s="86" t="s">
        <v>28</v>
      </c>
      <c r="AA61" s="86" t="s">
        <v>28</v>
      </c>
      <c r="AB61" s="35">
        <f t="shared" si="15"/>
        <v>657.5</v>
      </c>
      <c r="AC61" s="35">
        <f t="shared" si="16"/>
        <v>616</v>
      </c>
      <c r="AD61" s="35" t="str">
        <f t="shared" si="17"/>
        <v>&gt;</v>
      </c>
      <c r="AE61" s="35">
        <f t="shared" si="18"/>
        <v>328.75</v>
      </c>
      <c r="AF61" s="78">
        <v>300.0</v>
      </c>
      <c r="AG61" s="76" t="str">
        <f t="shared" si="19"/>
        <v>SI</v>
      </c>
      <c r="AH61" s="76" t="str">
        <f t="shared" si="20"/>
        <v>SI</v>
      </c>
    </row>
    <row r="62" ht="15.75" customHeight="1">
      <c r="B62" s="72">
        <v>53.0</v>
      </c>
      <c r="C62" s="77" t="s">
        <v>88</v>
      </c>
      <c r="D62" s="86" t="s">
        <v>28</v>
      </c>
      <c r="E62" s="86" t="s">
        <v>28</v>
      </c>
      <c r="F62" s="86" t="s">
        <v>28</v>
      </c>
      <c r="G62" s="86" t="s">
        <v>28</v>
      </c>
      <c r="H62" s="86" t="s">
        <v>28</v>
      </c>
      <c r="I62" s="86" t="s">
        <v>28</v>
      </c>
      <c r="J62" s="86" t="s">
        <v>28</v>
      </c>
      <c r="K62" s="86" t="s">
        <v>28</v>
      </c>
      <c r="L62" s="85">
        <v>275.0</v>
      </c>
      <c r="M62" s="85">
        <v>244.0</v>
      </c>
      <c r="N62" s="86" t="s">
        <v>28</v>
      </c>
      <c r="O62" s="86" t="s">
        <v>28</v>
      </c>
      <c r="P62" s="86" t="s">
        <v>28</v>
      </c>
      <c r="Q62" s="86" t="s">
        <v>28</v>
      </c>
      <c r="R62" s="86" t="s">
        <v>28</v>
      </c>
      <c r="S62" s="86" t="s">
        <v>28</v>
      </c>
      <c r="T62" s="86" t="s">
        <v>28</v>
      </c>
      <c r="U62" s="86" t="s">
        <v>28</v>
      </c>
      <c r="V62" s="86" t="s">
        <v>28</v>
      </c>
      <c r="W62" s="86" t="s">
        <v>28</v>
      </c>
      <c r="X62" s="86" t="s">
        <v>28</v>
      </c>
      <c r="Y62" s="86" t="s">
        <v>28</v>
      </c>
      <c r="Z62" s="86" t="s">
        <v>28</v>
      </c>
      <c r="AA62" s="86" t="s">
        <v>28</v>
      </c>
      <c r="AB62" s="35">
        <f t="shared" si="15"/>
        <v>259.5</v>
      </c>
      <c r="AC62" s="35">
        <f t="shared" si="16"/>
        <v>244</v>
      </c>
      <c r="AD62" s="35" t="str">
        <f t="shared" si="17"/>
        <v>&gt;</v>
      </c>
      <c r="AE62" s="35">
        <f t="shared" si="18"/>
        <v>129.75</v>
      </c>
      <c r="AF62" s="78">
        <v>300.0</v>
      </c>
      <c r="AG62" s="76" t="str">
        <f t="shared" si="19"/>
        <v>SI</v>
      </c>
      <c r="AH62" s="76" t="str">
        <f t="shared" si="20"/>
        <v>NO</v>
      </c>
    </row>
    <row r="63" ht="15.75" customHeight="1">
      <c r="L63" s="113">
        <v>411.0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G77" s="84">
        <f>AVERAGE(F53:H76)</f>
        <v>1.647391247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G5:AG7"/>
    <mergeCell ref="AH5:AH7"/>
    <mergeCell ref="I32:I33"/>
    <mergeCell ref="J32:J33"/>
    <mergeCell ref="D32:F32"/>
    <mergeCell ref="L32:Z32"/>
    <mergeCell ref="AB32:AB33"/>
    <mergeCell ref="AC32:AE33"/>
    <mergeCell ref="AF32:AF33"/>
    <mergeCell ref="AG32:AG33"/>
    <mergeCell ref="I5:I7"/>
    <mergeCell ref="J5:J7"/>
    <mergeCell ref="K5:K7"/>
    <mergeCell ref="B31:AH31"/>
    <mergeCell ref="B32:B33"/>
    <mergeCell ref="C32:C33"/>
    <mergeCell ref="K32:K33"/>
    <mergeCell ref="AH32:AH33"/>
    <mergeCell ref="D3:F3"/>
    <mergeCell ref="L3:Z3"/>
    <mergeCell ref="AF3:AF4"/>
    <mergeCell ref="AG3:AG4"/>
    <mergeCell ref="C1:Z1"/>
    <mergeCell ref="B2:AH2"/>
    <mergeCell ref="B3:B4"/>
    <mergeCell ref="C3:C4"/>
    <mergeCell ref="G3:G4"/>
    <mergeCell ref="H3:H4"/>
    <mergeCell ref="K3:K4"/>
    <mergeCell ref="AH3:AH4"/>
    <mergeCell ref="G5:G7"/>
    <mergeCell ref="H5:H7"/>
    <mergeCell ref="I3:I4"/>
    <mergeCell ref="J3:J4"/>
    <mergeCell ref="B5:B7"/>
    <mergeCell ref="C5:C7"/>
    <mergeCell ref="D5:D7"/>
    <mergeCell ref="E5:E7"/>
    <mergeCell ref="F5:F7"/>
    <mergeCell ref="AB3:AB4"/>
    <mergeCell ref="AC3:AE4"/>
    <mergeCell ref="AB5:AB7"/>
    <mergeCell ref="AC5:AC7"/>
    <mergeCell ref="AD5:AD7"/>
    <mergeCell ref="AE5:AE7"/>
    <mergeCell ref="AF5:AF7"/>
    <mergeCell ref="G32:G33"/>
    <mergeCell ref="H32:H33"/>
  </mergeCells>
  <conditionalFormatting sqref="AG5:AH5 AG8:AH15 AG19:AH19 AG21:AH22 AG24:AH29 AG36 AG38 AG40:AH40 AG44:AH49 AH36:AH38">
    <cfRule type="cellIs" dxfId="0" priority="1" stopIfTrue="1" operator="equal">
      <formula>"NO"</formula>
    </cfRule>
  </conditionalFormatting>
  <conditionalFormatting sqref="AG30:AH30 AG34:AH35">
    <cfRule type="cellIs" dxfId="0" priority="2" stopIfTrue="1" operator="equal">
      <formula>"NO"</formula>
    </cfRule>
  </conditionalFormatting>
  <conditionalFormatting sqref="AG41:AH41">
    <cfRule type="cellIs" dxfId="0" priority="3" stopIfTrue="1" operator="equal">
      <formula>"NO"</formula>
    </cfRule>
  </conditionalFormatting>
  <conditionalFormatting sqref="AG17:AH17">
    <cfRule type="cellIs" dxfId="0" priority="4" stopIfTrue="1" operator="equal">
      <formula>"NO"</formula>
    </cfRule>
  </conditionalFormatting>
  <conditionalFormatting sqref="AG39:AH39">
    <cfRule type="cellIs" dxfId="0" priority="5" stopIfTrue="1" operator="equal">
      <formula>"NO"</formula>
    </cfRule>
  </conditionalFormatting>
  <conditionalFormatting sqref="AG43:AH43">
    <cfRule type="cellIs" dxfId="0" priority="6" stopIfTrue="1" operator="equal">
      <formula>"NO"</formula>
    </cfRule>
  </conditionalFormatting>
  <conditionalFormatting sqref="AG42:AH42">
    <cfRule type="cellIs" dxfId="0" priority="7" stopIfTrue="1" operator="equal">
      <formula>"NO"</formula>
    </cfRule>
  </conditionalFormatting>
  <conditionalFormatting sqref="AG50:AH62">
    <cfRule type="cellIs" dxfId="0" priority="8" stopIfTrue="1" operator="equal">
      <formula>"NO"</formula>
    </cfRule>
  </conditionalFormatting>
  <conditionalFormatting sqref="AG37">
    <cfRule type="cellIs" dxfId="0" priority="9" stopIfTrue="1" operator="equal">
      <formula>"NO"</formula>
    </cfRule>
  </conditionalFormatting>
  <conditionalFormatting sqref="AG16:AH16">
    <cfRule type="cellIs" dxfId="0" priority="10" stopIfTrue="1" operator="equal">
      <formula>"NO"</formula>
    </cfRule>
  </conditionalFormatting>
  <conditionalFormatting sqref="AG18:AH18">
    <cfRule type="cellIs" dxfId="0" priority="11" stopIfTrue="1" operator="equal">
      <formula>"NO"</formula>
    </cfRule>
  </conditionalFormatting>
  <conditionalFormatting sqref="AG20:AH20">
    <cfRule type="cellIs" dxfId="0" priority="12" stopIfTrue="1" operator="equal">
      <formula>"NO"</formula>
    </cfRule>
  </conditionalFormatting>
  <conditionalFormatting sqref="AG23:AH23">
    <cfRule type="cellIs" dxfId="0" priority="13" stopIfTrue="1" operator="equal">
      <formula>"NO"</formula>
    </cfRule>
  </conditionalFormatting>
  <printOptions/>
  <pageMargins bottom="0.5905511811023623" footer="0.0" header="0.0" left="0.7480314960629921" right="0.7480314960629921" top="0.7874015748031497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6.57"/>
    <col customWidth="1" min="2" max="26" width="11.43"/>
  </cols>
  <sheetData>
    <row r="2">
      <c r="A2" s="84" t="s">
        <v>108</v>
      </c>
    </row>
    <row r="3">
      <c r="A3" s="84" t="s">
        <v>109</v>
      </c>
      <c r="B3" s="84">
        <v>200.0</v>
      </c>
    </row>
    <row r="4">
      <c r="A4" s="84" t="s">
        <v>110</v>
      </c>
      <c r="B4" s="84">
        <v>500.0</v>
      </c>
    </row>
    <row r="5">
      <c r="A5" s="84" t="s">
        <v>111</v>
      </c>
      <c r="B5" s="84">
        <v>500.0</v>
      </c>
    </row>
    <row r="6">
      <c r="A6" s="84" t="s">
        <v>112</v>
      </c>
      <c r="B6" s="84">
        <v>750.0</v>
      </c>
    </row>
    <row r="7">
      <c r="A7" s="84" t="s">
        <v>108</v>
      </c>
    </row>
    <row r="8">
      <c r="A8" s="84" t="s">
        <v>113</v>
      </c>
      <c r="B8" s="84">
        <v>300.0</v>
      </c>
    </row>
    <row r="9">
      <c r="A9" s="84" t="s">
        <v>114</v>
      </c>
      <c r="B9" s="84">
        <v>200.0</v>
      </c>
    </row>
    <row r="10">
      <c r="A10" s="84" t="s">
        <v>115</v>
      </c>
    </row>
    <row r="11">
      <c r="A11" s="84" t="s">
        <v>116</v>
      </c>
      <c r="B11" s="84">
        <v>100.0</v>
      </c>
    </row>
    <row r="12">
      <c r="A12" s="84" t="s">
        <v>117</v>
      </c>
      <c r="B12" s="84">
        <v>200.0</v>
      </c>
    </row>
    <row r="14">
      <c r="A14" s="84" t="s">
        <v>118</v>
      </c>
    </row>
    <row r="15">
      <c r="A15" s="84" t="s">
        <v>119</v>
      </c>
    </row>
    <row r="16">
      <c r="A16" s="84" t="s">
        <v>120</v>
      </c>
    </row>
    <row r="18">
      <c r="A18" s="84" t="s">
        <v>121</v>
      </c>
      <c r="B18" s="84" t="s">
        <v>122</v>
      </c>
    </row>
    <row r="19">
      <c r="A19" s="84" t="s">
        <v>123</v>
      </c>
    </row>
    <row r="20">
      <c r="A20" s="84" t="s">
        <v>124</v>
      </c>
    </row>
    <row r="21" ht="15.75" customHeight="1">
      <c r="A21" s="84" t="s">
        <v>125</v>
      </c>
      <c r="B21" s="84">
        <v>100.0</v>
      </c>
    </row>
    <row r="22" ht="15.75" customHeight="1">
      <c r="A22" s="84" t="s">
        <v>126</v>
      </c>
      <c r="B22" s="84">
        <v>200.0</v>
      </c>
    </row>
    <row r="23" ht="15.75" customHeight="1">
      <c r="B23" s="84" t="s">
        <v>127</v>
      </c>
    </row>
    <row r="24" ht="15.75" customHeight="1">
      <c r="B24" s="84" t="s">
        <v>128</v>
      </c>
    </row>
    <row r="25" ht="15.75" customHeight="1">
      <c r="A25" s="84" t="s">
        <v>129</v>
      </c>
    </row>
    <row r="26" ht="15.75" customHeight="1">
      <c r="A26" s="84" t="s">
        <v>116</v>
      </c>
      <c r="B26" s="84">
        <v>200.0</v>
      </c>
    </row>
    <row r="27" ht="15.75" customHeight="1">
      <c r="A27" s="84" t="s">
        <v>130</v>
      </c>
      <c r="B27" s="84">
        <v>200.0</v>
      </c>
    </row>
    <row r="28" ht="15.75" customHeight="1">
      <c r="A28" s="84" t="s">
        <v>131</v>
      </c>
    </row>
    <row r="29" ht="15.75" customHeight="1">
      <c r="A29" s="84" t="s">
        <v>132</v>
      </c>
      <c r="B29" s="84">
        <v>200.0</v>
      </c>
    </row>
    <row r="30" ht="15.75" customHeight="1">
      <c r="A30" s="84" t="s">
        <v>133</v>
      </c>
    </row>
    <row r="31" ht="15.75" customHeight="1">
      <c r="A31" s="84" t="s">
        <v>116</v>
      </c>
      <c r="B31" s="84">
        <v>1000.0</v>
      </c>
    </row>
    <row r="32" ht="15.75" customHeight="1">
      <c r="A32" s="84" t="s">
        <v>134</v>
      </c>
      <c r="B32" s="84">
        <v>300.0</v>
      </c>
    </row>
    <row r="33" ht="15.75" customHeight="1">
      <c r="A33" s="84" t="s">
        <v>135</v>
      </c>
    </row>
    <row r="34" ht="15.75" customHeight="1">
      <c r="A34" s="84" t="s">
        <v>116</v>
      </c>
      <c r="B34" s="84">
        <v>500.0</v>
      </c>
    </row>
    <row r="35" ht="15.75" customHeight="1">
      <c r="A35" s="84" t="s">
        <v>136</v>
      </c>
    </row>
    <row r="36" ht="15.75" customHeight="1">
      <c r="A36" s="84" t="s">
        <v>137</v>
      </c>
    </row>
    <row r="37" ht="15.75" customHeight="1">
      <c r="A37" s="84" t="s">
        <v>138</v>
      </c>
      <c r="B37" s="84">
        <v>100.0</v>
      </c>
    </row>
    <row r="38" ht="15.75" customHeight="1">
      <c r="A38" s="84" t="s">
        <v>139</v>
      </c>
      <c r="B38" s="84">
        <v>300.0</v>
      </c>
    </row>
    <row r="39" ht="15.75" customHeight="1">
      <c r="A39" s="84" t="s">
        <v>140</v>
      </c>
      <c r="B39" s="84">
        <v>100.0</v>
      </c>
    </row>
    <row r="40" ht="15.75" customHeight="1">
      <c r="A40" s="84" t="s">
        <v>141</v>
      </c>
    </row>
    <row r="41" ht="15.75" customHeight="1">
      <c r="A41" s="84" t="s">
        <v>116</v>
      </c>
      <c r="B41" s="84">
        <v>200.0</v>
      </c>
    </row>
    <row r="42" ht="15.75" customHeight="1">
      <c r="A42" s="84" t="s">
        <v>142</v>
      </c>
      <c r="B42" s="84">
        <v>400.0</v>
      </c>
    </row>
    <row r="43" ht="15.75" customHeight="1">
      <c r="A43" s="84" t="s">
        <v>143</v>
      </c>
      <c r="B43" s="84">
        <v>100.0</v>
      </c>
    </row>
    <row r="44" ht="15.75" customHeight="1">
      <c r="A44" s="84" t="s">
        <v>144</v>
      </c>
      <c r="B44" s="84">
        <v>100.0</v>
      </c>
    </row>
    <row r="45" ht="15.75" customHeight="1">
      <c r="A45" s="84" t="s">
        <v>145</v>
      </c>
      <c r="B45" s="84">
        <v>70.0</v>
      </c>
    </row>
    <row r="46" ht="15.75" customHeight="1">
      <c r="A46" s="84" t="s">
        <v>146</v>
      </c>
      <c r="B46" s="84">
        <v>100.0</v>
      </c>
    </row>
    <row r="47" ht="15.75" customHeight="1">
      <c r="A47" s="84" t="s">
        <v>115</v>
      </c>
    </row>
    <row r="48" ht="15.75" customHeight="1">
      <c r="A48" s="84" t="s">
        <v>116</v>
      </c>
      <c r="B48" s="84">
        <v>100.0</v>
      </c>
    </row>
    <row r="49" ht="15.75" customHeight="1">
      <c r="A49" s="84" t="s">
        <v>117</v>
      </c>
      <c r="B49" s="84">
        <v>200.0</v>
      </c>
    </row>
    <row r="50" ht="15.75" customHeight="1">
      <c r="A50" s="84" t="s">
        <v>108</v>
      </c>
    </row>
    <row r="51" ht="15.75" customHeight="1">
      <c r="A51" s="84" t="s">
        <v>109</v>
      </c>
      <c r="B51" s="84">
        <v>200.0</v>
      </c>
    </row>
    <row r="52" ht="15.75" customHeight="1">
      <c r="A52" s="84" t="s">
        <v>110</v>
      </c>
      <c r="B52" s="84">
        <v>500.0</v>
      </c>
    </row>
    <row r="53" ht="15.75" customHeight="1">
      <c r="A53" s="84" t="s">
        <v>111</v>
      </c>
      <c r="B53" s="84">
        <v>500.0</v>
      </c>
    </row>
    <row r="54" ht="15.75" customHeight="1">
      <c r="A54" s="84" t="s">
        <v>112</v>
      </c>
      <c r="B54" s="84">
        <v>750.0</v>
      </c>
    </row>
    <row r="55" ht="15.75" customHeight="1">
      <c r="A55" s="84" t="s">
        <v>108</v>
      </c>
    </row>
    <row r="56" ht="15.75" customHeight="1">
      <c r="A56" s="84" t="s">
        <v>113</v>
      </c>
      <c r="B56" s="84">
        <v>300.0</v>
      </c>
    </row>
    <row r="57" ht="15.75" customHeight="1">
      <c r="A57" s="84" t="s">
        <v>114</v>
      </c>
      <c r="B57" s="84">
        <v>200.0</v>
      </c>
    </row>
    <row r="58" ht="15.75" customHeight="1">
      <c r="A58" s="84" t="s">
        <v>147</v>
      </c>
    </row>
    <row r="59" ht="15.75" customHeight="1">
      <c r="A59" s="84" t="s">
        <v>116</v>
      </c>
      <c r="B59" s="84">
        <v>500.0</v>
      </c>
    </row>
    <row r="60" ht="15.75" customHeight="1">
      <c r="A60" s="84" t="s">
        <v>148</v>
      </c>
      <c r="B60" s="84">
        <v>750.0</v>
      </c>
    </row>
    <row r="61" ht="15.75" customHeight="1">
      <c r="A61" s="84" t="s">
        <v>149</v>
      </c>
      <c r="B61" s="84">
        <v>500.0</v>
      </c>
    </row>
    <row r="62" ht="15.75" customHeight="1">
      <c r="A62" s="84" t="s">
        <v>150</v>
      </c>
    </row>
    <row r="63" ht="15.75" customHeight="1">
      <c r="A63" s="84" t="s">
        <v>151</v>
      </c>
    </row>
    <row r="64" ht="15.75" customHeight="1">
      <c r="A64" s="84" t="s">
        <v>152</v>
      </c>
      <c r="B64" s="84">
        <v>50.0</v>
      </c>
    </row>
    <row r="65" ht="15.75" customHeight="1">
      <c r="A65" s="84" t="s">
        <v>153</v>
      </c>
    </row>
    <row r="66" ht="15.75" customHeight="1">
      <c r="A66" s="84" t="s">
        <v>154</v>
      </c>
      <c r="B66" s="84">
        <v>300.0</v>
      </c>
    </row>
    <row r="67" ht="15.75" customHeight="1">
      <c r="A67" s="84" t="s">
        <v>155</v>
      </c>
      <c r="B67" s="84">
        <v>50.0</v>
      </c>
    </row>
    <row r="68" ht="15.75" customHeight="1">
      <c r="A68" s="84" t="s">
        <v>156</v>
      </c>
      <c r="B68" s="84">
        <v>100.0</v>
      </c>
    </row>
    <row r="69" ht="15.75" customHeight="1">
      <c r="A69" s="84" t="s">
        <v>157</v>
      </c>
      <c r="B69" s="84">
        <v>100.0</v>
      </c>
    </row>
    <row r="70" ht="15.75" customHeight="1">
      <c r="A70" s="84" t="s">
        <v>158</v>
      </c>
      <c r="B70" s="84">
        <v>100.0</v>
      </c>
    </row>
    <row r="71" ht="15.75" customHeight="1">
      <c r="A71" s="84" t="s">
        <v>159</v>
      </c>
      <c r="B71" s="84">
        <v>300.0</v>
      </c>
    </row>
    <row r="72" ht="15.75" customHeight="1">
      <c r="A72" s="84" t="s">
        <v>154</v>
      </c>
      <c r="B72" s="84">
        <v>300.0</v>
      </c>
    </row>
    <row r="73" ht="15.75" customHeight="1">
      <c r="A73" s="84" t="s">
        <v>160</v>
      </c>
      <c r="B73" s="84">
        <v>300.0</v>
      </c>
    </row>
    <row r="74" ht="15.75" customHeight="1">
      <c r="A74" s="84" t="s">
        <v>161</v>
      </c>
    </row>
    <row r="75" ht="15.75" customHeight="1">
      <c r="A75" s="84" t="s">
        <v>162</v>
      </c>
      <c r="B75" s="84">
        <v>50.0</v>
      </c>
    </row>
    <row r="76" ht="15.75" customHeight="1">
      <c r="A76" s="84" t="s">
        <v>163</v>
      </c>
      <c r="B76" s="84">
        <v>150.0</v>
      </c>
    </row>
    <row r="77" ht="15.75" customHeight="1">
      <c r="A77" s="84" t="s">
        <v>164</v>
      </c>
    </row>
    <row r="78" ht="15.75" customHeight="1">
      <c r="A78" s="84" t="s">
        <v>165</v>
      </c>
      <c r="B78" s="84">
        <v>300.0</v>
      </c>
    </row>
    <row r="79" ht="15.75" customHeight="1">
      <c r="A79" s="84" t="s">
        <v>166</v>
      </c>
      <c r="B79" s="84">
        <v>100.0</v>
      </c>
    </row>
    <row r="80" ht="15.75" customHeight="1">
      <c r="A80" s="84" t="s">
        <v>167</v>
      </c>
      <c r="B80" s="84">
        <v>150.0</v>
      </c>
    </row>
    <row r="81" ht="15.75" customHeight="1">
      <c r="A81" s="84" t="s">
        <v>168</v>
      </c>
      <c r="B81" s="84">
        <v>150.0</v>
      </c>
    </row>
    <row r="82" ht="15.75" customHeight="1">
      <c r="A82" s="84" t="s">
        <v>154</v>
      </c>
      <c r="B82" s="84">
        <v>300.0</v>
      </c>
    </row>
    <row r="83" ht="15.75" customHeight="1">
      <c r="A83" s="84" t="s">
        <v>169</v>
      </c>
      <c r="B83" s="84">
        <v>300.0</v>
      </c>
    </row>
    <row r="84" ht="15.75" customHeight="1">
      <c r="A84" s="84" t="s">
        <v>170</v>
      </c>
    </row>
    <row r="85" ht="15.75" customHeight="1">
      <c r="A85" s="84" t="s">
        <v>152</v>
      </c>
      <c r="B85" s="84">
        <v>300.0</v>
      </c>
    </row>
    <row r="86" ht="15.75" customHeight="1">
      <c r="A86" s="84" t="s">
        <v>171</v>
      </c>
      <c r="B86" s="84">
        <v>100.0</v>
      </c>
    </row>
    <row r="87" ht="15.75" customHeight="1">
      <c r="A87" s="84" t="s">
        <v>166</v>
      </c>
      <c r="B87" s="84">
        <v>100.0</v>
      </c>
    </row>
    <row r="88" ht="15.75" customHeight="1">
      <c r="A88" s="84" t="s">
        <v>172</v>
      </c>
      <c r="B88" s="84">
        <v>300.0</v>
      </c>
    </row>
    <row r="89" ht="15.75" customHeight="1">
      <c r="A89" s="84" t="s">
        <v>168</v>
      </c>
      <c r="B89" s="84">
        <v>100.0</v>
      </c>
    </row>
    <row r="90" ht="15.75" customHeight="1">
      <c r="A90" s="84" t="s">
        <v>154</v>
      </c>
      <c r="B90" s="84">
        <v>300.0</v>
      </c>
    </row>
    <row r="91" ht="15.75" customHeight="1">
      <c r="A91" s="84" t="s">
        <v>173</v>
      </c>
      <c r="B91" s="84">
        <v>200.0</v>
      </c>
    </row>
    <row r="92" ht="15.75" customHeight="1">
      <c r="A92" s="84" t="s">
        <v>174</v>
      </c>
      <c r="B92" s="84">
        <v>300.0</v>
      </c>
    </row>
    <row r="93" ht="15.75" customHeight="1">
      <c r="A93" s="84" t="s">
        <v>175</v>
      </c>
      <c r="B93" s="84">
        <v>300.0</v>
      </c>
    </row>
    <row r="94" ht="15.75" customHeight="1">
      <c r="A94" s="84" t="s">
        <v>176</v>
      </c>
      <c r="B94" s="84">
        <v>50.0</v>
      </c>
    </row>
    <row r="95" ht="15.75" customHeight="1">
      <c r="A95" s="84" t="s">
        <v>177</v>
      </c>
    </row>
    <row r="96" ht="15.75" customHeight="1">
      <c r="A96" s="84" t="s">
        <v>178</v>
      </c>
      <c r="B96" s="84">
        <v>300.0</v>
      </c>
    </row>
    <row r="97" ht="15.75" customHeight="1">
      <c r="A97" s="84" t="s">
        <v>179</v>
      </c>
      <c r="B97" s="84">
        <v>150.0</v>
      </c>
    </row>
    <row r="98" ht="15.75" customHeight="1">
      <c r="A98" s="84" t="s">
        <v>172</v>
      </c>
      <c r="B98" s="84">
        <v>150.0</v>
      </c>
    </row>
    <row r="99" ht="15.75" customHeight="1">
      <c r="A99" s="84" t="s">
        <v>168</v>
      </c>
      <c r="B99" s="84">
        <v>150.0</v>
      </c>
    </row>
    <row r="100" ht="15.75" customHeight="1">
      <c r="A100" s="84" t="s">
        <v>180</v>
      </c>
      <c r="B100" s="84">
        <v>50.0</v>
      </c>
    </row>
    <row r="101" ht="15.75" customHeight="1">
      <c r="A101" s="84" t="s">
        <v>154</v>
      </c>
      <c r="B101" s="84">
        <v>300.0</v>
      </c>
    </row>
    <row r="102" ht="15.75" customHeight="1">
      <c r="A102" s="84" t="s">
        <v>173</v>
      </c>
      <c r="B102" s="84">
        <v>200.0</v>
      </c>
    </row>
    <row r="103" ht="15.75" customHeight="1">
      <c r="A103" s="84" t="s">
        <v>181</v>
      </c>
    </row>
    <row r="104" ht="15.75" customHeight="1">
      <c r="A104" s="84" t="s">
        <v>182</v>
      </c>
      <c r="B104" s="84">
        <v>100.0</v>
      </c>
    </row>
    <row r="105" ht="15.75" customHeight="1">
      <c r="A105" s="84" t="s">
        <v>183</v>
      </c>
      <c r="B105" s="84">
        <v>150.0</v>
      </c>
    </row>
    <row r="106" ht="15.75" customHeight="1">
      <c r="A106" s="84" t="s">
        <v>184</v>
      </c>
      <c r="B106" s="84">
        <v>100.0</v>
      </c>
    </row>
    <row r="107" ht="15.75" customHeight="1">
      <c r="A107" s="84" t="s">
        <v>185</v>
      </c>
      <c r="B107" s="84">
        <v>100.0</v>
      </c>
    </row>
    <row r="108" ht="15.75" customHeight="1">
      <c r="A108" s="84" t="s">
        <v>186</v>
      </c>
      <c r="B108" s="84">
        <v>300.0</v>
      </c>
    </row>
    <row r="109" ht="15.75" customHeight="1">
      <c r="A109" s="84" t="s">
        <v>187</v>
      </c>
    </row>
    <row r="110" ht="15.75" customHeight="1">
      <c r="A110" s="84" t="s">
        <v>188</v>
      </c>
      <c r="B110" s="84">
        <v>100.0</v>
      </c>
    </row>
    <row r="111" ht="15.75" customHeight="1">
      <c r="A111" s="84" t="s">
        <v>189</v>
      </c>
      <c r="B111" s="84">
        <v>100.0</v>
      </c>
    </row>
    <row r="112" ht="15.75" customHeight="1">
      <c r="A112" s="84" t="s">
        <v>190</v>
      </c>
      <c r="B112" s="84">
        <v>300.0</v>
      </c>
    </row>
    <row r="113" ht="15.75" customHeight="1">
      <c r="A113" s="84" t="s">
        <v>191</v>
      </c>
    </row>
    <row r="114" ht="15.75" customHeight="1">
      <c r="A114" s="84" t="s">
        <v>192</v>
      </c>
      <c r="B114" s="84">
        <v>100.0</v>
      </c>
    </row>
    <row r="115" ht="15.75" customHeight="1">
      <c r="A115" s="84" t="s">
        <v>193</v>
      </c>
    </row>
    <row r="116" ht="15.75" customHeight="1">
      <c r="A116" s="84" t="s">
        <v>194</v>
      </c>
      <c r="B116" s="84">
        <v>200.0</v>
      </c>
    </row>
    <row r="117" ht="15.75" customHeight="1">
      <c r="A117" s="84" t="s">
        <v>195</v>
      </c>
    </row>
    <row r="118" ht="15.75" customHeight="1">
      <c r="A118" s="84" t="s">
        <v>196</v>
      </c>
      <c r="B118" s="84">
        <v>200.0</v>
      </c>
    </row>
    <row r="119" ht="15.75" customHeight="1">
      <c r="A119" s="84" t="s">
        <v>197</v>
      </c>
      <c r="B119" s="84">
        <v>300.0</v>
      </c>
    </row>
    <row r="120" ht="15.75" customHeight="1">
      <c r="A120" s="84" t="s">
        <v>198</v>
      </c>
    </row>
    <row r="121" ht="15.75" customHeight="1">
      <c r="A121" s="84" t="s">
        <v>192</v>
      </c>
      <c r="B121" s="84">
        <v>100.0</v>
      </c>
    </row>
    <row r="122" ht="15.75" customHeight="1">
      <c r="A122" s="84" t="s">
        <v>199</v>
      </c>
      <c r="B122" s="84">
        <v>200.0</v>
      </c>
    </row>
    <row r="123" ht="15.75" customHeight="1">
      <c r="A123" s="84" t="s">
        <v>154</v>
      </c>
      <c r="B123" s="84">
        <v>300.0</v>
      </c>
    </row>
    <row r="124" ht="15.75" customHeight="1">
      <c r="A124" s="84" t="s">
        <v>200</v>
      </c>
      <c r="B124" s="84">
        <v>100.0</v>
      </c>
    </row>
    <row r="125" ht="15.75" customHeight="1">
      <c r="A125" s="84" t="s">
        <v>201</v>
      </c>
    </row>
    <row r="126" ht="15.75" customHeight="1">
      <c r="A126" s="84" t="s">
        <v>192</v>
      </c>
      <c r="B126" s="84">
        <v>100.0</v>
      </c>
    </row>
    <row r="127" ht="15.75" customHeight="1">
      <c r="A127" s="84" t="s">
        <v>199</v>
      </c>
      <c r="B127" s="84">
        <v>200.0</v>
      </c>
    </row>
    <row r="128" ht="15.75" customHeight="1">
      <c r="A128" s="84" t="s">
        <v>175</v>
      </c>
      <c r="B128" s="84">
        <v>50.0</v>
      </c>
    </row>
    <row r="129" ht="15.75" customHeight="1">
      <c r="A129" s="84" t="s">
        <v>202</v>
      </c>
      <c r="B129" s="84">
        <v>300.0</v>
      </c>
    </row>
    <row r="130" ht="15.75" customHeight="1">
      <c r="A130" s="84" t="s">
        <v>203</v>
      </c>
    </row>
    <row r="131" ht="15.75" customHeight="1">
      <c r="A131" s="84" t="s">
        <v>204</v>
      </c>
      <c r="B131" s="84">
        <v>100.0</v>
      </c>
    </row>
    <row r="132" ht="15.75" customHeight="1">
      <c r="A132" s="84" t="s">
        <v>205</v>
      </c>
      <c r="B132" s="84">
        <v>200.0</v>
      </c>
    </row>
    <row r="133" ht="15.75" customHeight="1">
      <c r="A133" s="84" t="s">
        <v>202</v>
      </c>
      <c r="B133" s="84">
        <v>300.0</v>
      </c>
    </row>
    <row r="134" ht="15.75" customHeight="1">
      <c r="A134" s="84" t="s">
        <v>206</v>
      </c>
    </row>
    <row r="135" ht="15.75" customHeight="1">
      <c r="A135" s="84" t="s">
        <v>204</v>
      </c>
      <c r="B135" s="84">
        <v>100.0</v>
      </c>
    </row>
    <row r="136" ht="15.75" customHeight="1">
      <c r="A136" s="84" t="s">
        <v>207</v>
      </c>
      <c r="B136" s="84">
        <v>200.0</v>
      </c>
    </row>
    <row r="137" ht="15.75" customHeight="1">
      <c r="A137" s="84" t="s">
        <v>208</v>
      </c>
      <c r="B137" s="84">
        <v>200.0</v>
      </c>
    </row>
    <row r="138" ht="15.75" customHeight="1">
      <c r="A138" s="84" t="s">
        <v>202</v>
      </c>
      <c r="B138" s="84">
        <v>300.0</v>
      </c>
    </row>
    <row r="139" ht="15.75" customHeight="1">
      <c r="A139" s="84" t="s">
        <v>209</v>
      </c>
    </row>
    <row r="140" ht="15.75" customHeight="1">
      <c r="A140" s="84" t="s">
        <v>210</v>
      </c>
      <c r="B140" s="84">
        <v>200.0</v>
      </c>
    </row>
    <row r="141" ht="15.75" customHeight="1">
      <c r="A141" s="84" t="s">
        <v>211</v>
      </c>
      <c r="B141" s="84">
        <v>300.0</v>
      </c>
    </row>
    <row r="142" ht="15.75" customHeight="1">
      <c r="A142" s="84" t="s">
        <v>172</v>
      </c>
      <c r="B142" s="84">
        <v>300.0</v>
      </c>
    </row>
    <row r="143" ht="15.75" customHeight="1">
      <c r="A143" s="84" t="s">
        <v>212</v>
      </c>
      <c r="B143" s="84">
        <v>200.0</v>
      </c>
    </row>
    <row r="144" ht="15.75" customHeight="1">
      <c r="A144" s="84" t="s">
        <v>213</v>
      </c>
      <c r="B144" s="84">
        <v>600.0</v>
      </c>
    </row>
    <row r="145" ht="15.75" customHeight="1">
      <c r="A145" s="84" t="s">
        <v>214</v>
      </c>
    </row>
    <row r="146" ht="15.75" customHeight="1">
      <c r="A146" s="84" t="s">
        <v>215</v>
      </c>
      <c r="B146" s="84">
        <v>300.0</v>
      </c>
    </row>
    <row r="147" ht="15.75" customHeight="1">
      <c r="A147" s="84" t="s">
        <v>162</v>
      </c>
      <c r="B147" s="84">
        <v>50.0</v>
      </c>
    </row>
    <row r="148" ht="15.75" customHeight="1">
      <c r="A148" s="84" t="s">
        <v>216</v>
      </c>
      <c r="B148" s="84">
        <v>150.0</v>
      </c>
    </row>
    <row r="149" ht="15.75" customHeight="1">
      <c r="A149" s="84" t="s">
        <v>217</v>
      </c>
      <c r="B149" s="84">
        <v>100.0</v>
      </c>
    </row>
    <row r="150" ht="15.75" customHeight="1">
      <c r="A150" s="84" t="s">
        <v>172</v>
      </c>
      <c r="B150" s="84">
        <v>300.0</v>
      </c>
    </row>
    <row r="151" ht="15.75" customHeight="1">
      <c r="A151" s="84" t="s">
        <v>218</v>
      </c>
    </row>
    <row r="152" ht="15.75" customHeight="1">
      <c r="A152" s="84" t="s">
        <v>219</v>
      </c>
      <c r="B152" s="84">
        <v>100.0</v>
      </c>
    </row>
    <row r="153" ht="15.75" customHeight="1">
      <c r="A153" s="84" t="s">
        <v>199</v>
      </c>
      <c r="B153" s="84">
        <v>200.0</v>
      </c>
    </row>
    <row r="154" ht="15.75" customHeight="1">
      <c r="A154" s="84" t="s">
        <v>220</v>
      </c>
    </row>
    <row r="155" ht="15.75" customHeight="1">
      <c r="A155" s="84" t="s">
        <v>189</v>
      </c>
      <c r="B155" s="84">
        <v>200.0</v>
      </c>
    </row>
    <row r="156" ht="15.75" customHeight="1">
      <c r="A156" s="84" t="s">
        <v>221</v>
      </c>
      <c r="B156" s="84">
        <v>300.0</v>
      </c>
    </row>
    <row r="157" ht="15.75" customHeight="1">
      <c r="A157" s="84" t="s">
        <v>222</v>
      </c>
    </row>
    <row r="158" ht="15.75" customHeight="1">
      <c r="A158" s="84" t="s">
        <v>196</v>
      </c>
      <c r="B158" s="84">
        <v>150.0</v>
      </c>
    </row>
    <row r="159" ht="15.75" customHeight="1">
      <c r="A159" s="84" t="s">
        <v>173</v>
      </c>
      <c r="B159" s="84">
        <v>150.0</v>
      </c>
    </row>
    <row r="160" ht="15.75" customHeight="1">
      <c r="A160" s="84" t="s">
        <v>223</v>
      </c>
    </row>
    <row r="161" ht="15.75" customHeight="1">
      <c r="A161" s="84" t="s">
        <v>204</v>
      </c>
      <c r="B161" s="84">
        <v>100.0</v>
      </c>
    </row>
    <row r="162" ht="15.75" customHeight="1">
      <c r="A162" s="84" t="s">
        <v>224</v>
      </c>
      <c r="B162" s="84">
        <v>100.0</v>
      </c>
    </row>
    <row r="163" ht="15.75" customHeight="1">
      <c r="A163" s="84" t="s">
        <v>225</v>
      </c>
      <c r="B163" s="84">
        <v>200.0</v>
      </c>
    </row>
    <row r="164" ht="15.75" customHeight="1">
      <c r="A164" s="84" t="s">
        <v>226</v>
      </c>
      <c r="B164" s="84">
        <v>300.0</v>
      </c>
    </row>
    <row r="165" ht="15.75" customHeight="1">
      <c r="A165" s="84" t="s">
        <v>227</v>
      </c>
      <c r="B165" s="84">
        <v>100.0</v>
      </c>
    </row>
    <row r="166" ht="15.75" customHeight="1">
      <c r="A166" s="84" t="s">
        <v>222</v>
      </c>
    </row>
    <row r="167" ht="15.75" customHeight="1">
      <c r="A167" s="84" t="s">
        <v>228</v>
      </c>
      <c r="B167" s="84">
        <v>150.0</v>
      </c>
    </row>
    <row r="168" ht="15.75" customHeight="1">
      <c r="A168" s="84" t="s">
        <v>173</v>
      </c>
      <c r="B168" s="84">
        <v>150.0</v>
      </c>
    </row>
    <row r="169" ht="15.75" customHeight="1">
      <c r="A169" s="84" t="s">
        <v>229</v>
      </c>
    </row>
    <row r="170" ht="15.75" customHeight="1">
      <c r="A170" s="84" t="s">
        <v>219</v>
      </c>
      <c r="B170" s="84">
        <v>100.0</v>
      </c>
    </row>
    <row r="171" ht="15.75" customHeight="1">
      <c r="A171" s="84" t="s">
        <v>230</v>
      </c>
    </row>
    <row r="172" ht="15.75" customHeight="1">
      <c r="A172" s="84" t="s">
        <v>196</v>
      </c>
      <c r="B172" s="84">
        <v>200.0</v>
      </c>
    </row>
    <row r="173" ht="15.75" customHeight="1">
      <c r="A173" s="84" t="s">
        <v>231</v>
      </c>
      <c r="B173" s="84">
        <v>300.0</v>
      </c>
    </row>
    <row r="174" ht="15.75" customHeight="1">
      <c r="A174" s="84" t="s">
        <v>232</v>
      </c>
      <c r="B174" s="84">
        <v>100.0</v>
      </c>
    </row>
    <row r="175" ht="15.75" customHeight="1">
      <c r="A175" s="84" t="s">
        <v>233</v>
      </c>
      <c r="B175" s="84">
        <v>200.0</v>
      </c>
    </row>
    <row r="176" ht="15.75" customHeight="1">
      <c r="A176" s="84" t="s">
        <v>234</v>
      </c>
    </row>
    <row r="177" ht="15.75" customHeight="1">
      <c r="A177" s="84" t="s">
        <v>235</v>
      </c>
      <c r="B177" s="84">
        <v>300.0</v>
      </c>
    </row>
    <row r="178" ht="15.75" customHeight="1">
      <c r="A178" s="84" t="s">
        <v>216</v>
      </c>
      <c r="B178" s="84">
        <v>150.0</v>
      </c>
    </row>
    <row r="179" ht="15.75" customHeight="1">
      <c r="A179" s="84" t="s">
        <v>236</v>
      </c>
      <c r="B179" s="84">
        <v>300.0</v>
      </c>
    </row>
    <row r="180" ht="15.75" customHeight="1">
      <c r="A180" s="84" t="s">
        <v>237</v>
      </c>
    </row>
    <row r="181" ht="15.75" customHeight="1">
      <c r="A181" s="84" t="s">
        <v>196</v>
      </c>
      <c r="B181" s="84">
        <v>100.0</v>
      </c>
    </row>
    <row r="182" ht="15.75" customHeight="1">
      <c r="A182" s="84" t="s">
        <v>238</v>
      </c>
      <c r="B182" s="84">
        <v>300.0</v>
      </c>
    </row>
    <row r="183" ht="15.75" customHeight="1">
      <c r="A183" s="84" t="s">
        <v>239</v>
      </c>
      <c r="B183" s="84">
        <v>300.0</v>
      </c>
    </row>
    <row r="184" ht="15.75" customHeight="1">
      <c r="A184" s="84" t="s">
        <v>240</v>
      </c>
      <c r="B184" s="84">
        <v>200.0</v>
      </c>
    </row>
    <row r="185" ht="15.75" customHeight="1">
      <c r="A185" s="84" t="s">
        <v>241</v>
      </c>
    </row>
    <row r="186" ht="15.75" customHeight="1">
      <c r="A186" s="84" t="s">
        <v>242</v>
      </c>
    </row>
    <row r="187" ht="15.75" customHeight="1">
      <c r="A187" s="84" t="s">
        <v>196</v>
      </c>
      <c r="B187" s="84">
        <v>200.0</v>
      </c>
    </row>
    <row r="188" ht="15.75" customHeight="1">
      <c r="A188" s="84" t="s">
        <v>235</v>
      </c>
      <c r="B188" s="84">
        <v>400.0</v>
      </c>
    </row>
    <row r="189" ht="15.75" customHeight="1">
      <c r="A189" s="84" t="s">
        <v>243</v>
      </c>
    </row>
    <row r="190" ht="15.75" customHeight="1">
      <c r="A190" s="84" t="s">
        <v>196</v>
      </c>
      <c r="B190" s="84">
        <v>200.0</v>
      </c>
    </row>
    <row r="191" ht="15.75" customHeight="1">
      <c r="A191" s="84" t="s">
        <v>235</v>
      </c>
      <c r="B191" s="84">
        <v>400.0</v>
      </c>
    </row>
    <row r="192" ht="15.75" customHeight="1">
      <c r="A192" s="84" t="s">
        <v>146</v>
      </c>
      <c r="B192" s="84">
        <v>100.0</v>
      </c>
    </row>
    <row r="193" ht="15.75" customHeight="1">
      <c r="A193" s="84" t="s">
        <v>244</v>
      </c>
    </row>
    <row r="194" ht="15.75" customHeight="1">
      <c r="A194" s="84" t="s">
        <v>245</v>
      </c>
    </row>
    <row r="195" ht="15.75" customHeight="1">
      <c r="A195" s="84" t="s">
        <v>246</v>
      </c>
      <c r="B195" s="84">
        <v>100.0</v>
      </c>
    </row>
    <row r="196" ht="15.75" customHeight="1">
      <c r="A196" s="84" t="s">
        <v>247</v>
      </c>
    </row>
    <row r="197" ht="15.75" customHeight="1">
      <c r="A197" s="84" t="s">
        <v>248</v>
      </c>
    </row>
    <row r="198" ht="15.75" customHeight="1">
      <c r="A198" s="84" t="s">
        <v>249</v>
      </c>
      <c r="B198" s="84">
        <v>100.0</v>
      </c>
    </row>
    <row r="199" ht="15.75" customHeight="1">
      <c r="A199" s="84" t="s">
        <v>250</v>
      </c>
    </row>
    <row r="200" ht="15.75" customHeight="1">
      <c r="A200" s="84" t="s">
        <v>251</v>
      </c>
      <c r="B200" s="84">
        <v>300.0</v>
      </c>
    </row>
    <row r="201" ht="15.75" customHeight="1">
      <c r="A201" s="84" t="s">
        <v>252</v>
      </c>
      <c r="B201" s="84">
        <v>200.0</v>
      </c>
    </row>
    <row r="202" ht="15.75" customHeight="1">
      <c r="A202" s="84" t="s">
        <v>253</v>
      </c>
      <c r="B202" s="84">
        <v>100.0</v>
      </c>
    </row>
    <row r="203" ht="15.75" customHeight="1">
      <c r="A203" s="84" t="s">
        <v>254</v>
      </c>
      <c r="B203" s="84">
        <v>100.0</v>
      </c>
    </row>
    <row r="204" ht="15.75" customHeight="1">
      <c r="A204" s="84" t="s">
        <v>255</v>
      </c>
    </row>
    <row r="205" ht="15.75" customHeight="1">
      <c r="A205" s="84" t="s">
        <v>196</v>
      </c>
      <c r="B205" s="84">
        <v>250.0</v>
      </c>
    </row>
    <row r="206" ht="15.75" customHeight="1">
      <c r="A206" s="84" t="s">
        <v>256</v>
      </c>
      <c r="B206" s="84">
        <v>500.0</v>
      </c>
    </row>
    <row r="207" ht="15.75" customHeight="1">
      <c r="A207" s="84" t="s">
        <v>257</v>
      </c>
      <c r="B207" s="84">
        <v>200.0</v>
      </c>
    </row>
    <row r="208" ht="15.75" customHeight="1">
      <c r="A208" s="84" t="s">
        <v>258</v>
      </c>
      <c r="B208" s="84">
        <v>100.0</v>
      </c>
    </row>
    <row r="209" ht="15.75" customHeight="1">
      <c r="A209" s="84" t="s">
        <v>259</v>
      </c>
    </row>
    <row r="210" ht="15.75" customHeight="1">
      <c r="A210" s="84" t="s">
        <v>260</v>
      </c>
      <c r="B210" s="84">
        <v>100.0</v>
      </c>
    </row>
    <row r="211" ht="15.75" customHeight="1">
      <c r="A211" s="84" t="s">
        <v>261</v>
      </c>
      <c r="B211" s="84">
        <v>100.0</v>
      </c>
    </row>
    <row r="212" ht="15.75" customHeight="1">
      <c r="A212" s="84" t="s">
        <v>262</v>
      </c>
      <c r="B212" s="84">
        <v>200.0</v>
      </c>
    </row>
    <row r="213" ht="15.75" customHeight="1">
      <c r="A213" s="84" t="s">
        <v>263</v>
      </c>
    </row>
    <row r="214" ht="15.75" customHeight="1">
      <c r="A214" s="84" t="s">
        <v>264</v>
      </c>
    </row>
    <row r="215" ht="15.75" customHeight="1">
      <c r="A215" s="84" t="s">
        <v>265</v>
      </c>
      <c r="B215" s="84">
        <v>300.0</v>
      </c>
    </row>
    <row r="216" ht="15.75" customHeight="1">
      <c r="A216" s="84" t="s">
        <v>266</v>
      </c>
      <c r="B216" s="84">
        <v>200.0</v>
      </c>
    </row>
    <row r="217" ht="15.75" customHeight="1">
      <c r="A217" s="84" t="s">
        <v>267</v>
      </c>
      <c r="B217" s="84">
        <v>100.0</v>
      </c>
    </row>
    <row r="218" ht="15.75" customHeight="1">
      <c r="A218" s="84" t="s">
        <v>268</v>
      </c>
    </row>
    <row r="219" ht="15.75" customHeight="1">
      <c r="A219" s="84" t="s">
        <v>269</v>
      </c>
      <c r="B219" s="84">
        <v>100.0</v>
      </c>
    </row>
    <row r="220" ht="15.75" customHeight="1">
      <c r="A220" s="84" t="s">
        <v>270</v>
      </c>
    </row>
    <row r="221" ht="15.75" customHeight="1">
      <c r="A221" s="84" t="s">
        <v>271</v>
      </c>
      <c r="B221" s="84">
        <v>300.0</v>
      </c>
    </row>
    <row r="222" ht="15.75" customHeight="1">
      <c r="A222" s="84" t="s">
        <v>272</v>
      </c>
      <c r="B222" s="84">
        <v>600.0</v>
      </c>
    </row>
    <row r="223" ht="15.75" customHeight="1">
      <c r="A223" s="84" t="s">
        <v>273</v>
      </c>
      <c r="B223" s="84">
        <v>1200.0</v>
      </c>
    </row>
    <row r="224" ht="15.75" customHeight="1">
      <c r="A224" s="84" t="s">
        <v>274</v>
      </c>
      <c r="B224" s="84">
        <v>2000.0</v>
      </c>
    </row>
    <row r="225" ht="15.75" customHeight="1">
      <c r="A225" s="84" t="s">
        <v>275</v>
      </c>
      <c r="B225" s="84">
        <v>3000.0</v>
      </c>
    </row>
    <row r="226" ht="15.75" customHeight="1">
      <c r="A226" s="84" t="s">
        <v>276</v>
      </c>
    </row>
    <row r="227" ht="15.75" customHeight="1">
      <c r="A227" s="84" t="s">
        <v>277</v>
      </c>
      <c r="B227" s="84">
        <v>200.0</v>
      </c>
    </row>
    <row r="228" ht="15.75" customHeight="1">
      <c r="A228" s="84" t="s">
        <v>278</v>
      </c>
      <c r="B228" s="84">
        <v>400.0</v>
      </c>
    </row>
    <row r="229" ht="15.75" customHeight="1">
      <c r="A229" s="84" t="s">
        <v>279</v>
      </c>
      <c r="B229" s="84">
        <v>1200.0</v>
      </c>
    </row>
    <row r="230" ht="15.75" customHeight="1">
      <c r="A230" s="84" t="s">
        <v>280</v>
      </c>
      <c r="B230" s="84">
        <v>2000.0</v>
      </c>
    </row>
    <row r="231" ht="15.75" customHeight="1">
      <c r="A231" s="84" t="s">
        <v>281</v>
      </c>
      <c r="B231" s="84">
        <v>3000.0</v>
      </c>
    </row>
    <row r="232" ht="15.75" customHeight="1">
      <c r="A232" s="84" t="s">
        <v>282</v>
      </c>
    </row>
    <row r="233" ht="15.75" customHeight="1">
      <c r="A233" s="84" t="s">
        <v>196</v>
      </c>
      <c r="B233" s="84">
        <v>100.0</v>
      </c>
    </row>
    <row r="234" ht="15.75" customHeight="1">
      <c r="A234" s="84" t="s">
        <v>283</v>
      </c>
    </row>
    <row r="235" ht="15.75" customHeight="1">
      <c r="A235" s="84" t="s">
        <v>284</v>
      </c>
      <c r="B235" s="84">
        <v>300.0</v>
      </c>
    </row>
    <row r="236" ht="15.75" customHeight="1">
      <c r="A236" s="84" t="s">
        <v>285</v>
      </c>
    </row>
    <row r="237" ht="15.75" customHeight="1">
      <c r="A237" s="84" t="s">
        <v>286</v>
      </c>
      <c r="B237" s="84">
        <v>500.0</v>
      </c>
    </row>
    <row r="238" ht="15.75" customHeight="1">
      <c r="A238" s="84" t="s">
        <v>287</v>
      </c>
    </row>
    <row r="239" ht="15.75" customHeight="1">
      <c r="A239" s="84" t="s">
        <v>196</v>
      </c>
      <c r="B239" s="84">
        <v>300.0</v>
      </c>
    </row>
    <row r="240" ht="15.75" customHeight="1">
      <c r="A240" s="84" t="s">
        <v>288</v>
      </c>
      <c r="B240" s="84">
        <v>1000.0</v>
      </c>
    </row>
    <row r="241" ht="15.75" customHeight="1">
      <c r="A241" s="84" t="s">
        <v>289</v>
      </c>
      <c r="B241" s="84">
        <v>500.0</v>
      </c>
    </row>
    <row r="242" ht="15.75" customHeight="1">
      <c r="A242" s="84" t="s">
        <v>290</v>
      </c>
      <c r="B242" s="84">
        <v>300.0</v>
      </c>
    </row>
    <row r="243" ht="15.75" customHeight="1">
      <c r="A243" s="84" t="s">
        <v>291</v>
      </c>
      <c r="B243" s="84">
        <v>300.0</v>
      </c>
    </row>
    <row r="244" ht="15.75" customHeight="1">
      <c r="A244" s="84" t="s">
        <v>292</v>
      </c>
    </row>
    <row r="245" ht="15.75" customHeight="1">
      <c r="A245" s="84" t="s">
        <v>293</v>
      </c>
      <c r="B245" s="84">
        <v>400.0</v>
      </c>
    </row>
    <row r="246" ht="15.75" customHeight="1">
      <c r="A246" s="84" t="s">
        <v>294</v>
      </c>
      <c r="B246" s="84">
        <v>1000.0</v>
      </c>
    </row>
    <row r="247" ht="15.75" customHeight="1">
      <c r="A247" s="84" t="s">
        <v>295</v>
      </c>
      <c r="B247" s="84">
        <v>400.0</v>
      </c>
    </row>
    <row r="248" ht="15.75" customHeight="1">
      <c r="A248" s="84" t="s">
        <v>296</v>
      </c>
      <c r="B248" s="84">
        <v>600.0</v>
      </c>
    </row>
    <row r="249" ht="15.75" customHeight="1">
      <c r="A249" s="84" t="s">
        <v>297</v>
      </c>
      <c r="B249" s="84">
        <v>600.0</v>
      </c>
    </row>
    <row r="250" ht="15.75" customHeight="1">
      <c r="A250" s="84" t="s">
        <v>298</v>
      </c>
    </row>
    <row r="251" ht="15.75" customHeight="1">
      <c r="A251" s="84" t="s">
        <v>299</v>
      </c>
      <c r="B251" s="84">
        <v>400.0</v>
      </c>
    </row>
    <row r="252" ht="15.75" customHeight="1">
      <c r="A252" s="84" t="s">
        <v>142</v>
      </c>
      <c r="B252" s="84">
        <v>600.0</v>
      </c>
    </row>
    <row r="253" ht="15.75" customHeight="1">
      <c r="A253" s="84" t="s">
        <v>154</v>
      </c>
      <c r="B253" s="84">
        <v>1000.0</v>
      </c>
    </row>
    <row r="254" ht="15.75" customHeight="1">
      <c r="A254" s="84" t="s">
        <v>300</v>
      </c>
    </row>
    <row r="255" ht="15.75" customHeight="1">
      <c r="A255" s="84" t="s">
        <v>301</v>
      </c>
    </row>
    <row r="256" ht="15.75" customHeight="1">
      <c r="A256" s="84" t="s">
        <v>302</v>
      </c>
      <c r="B256" s="84">
        <v>100.0</v>
      </c>
    </row>
    <row r="257" ht="15.75" customHeight="1">
      <c r="A257" s="84" t="s">
        <v>303</v>
      </c>
      <c r="B257" s="84">
        <v>200.0</v>
      </c>
    </row>
    <row r="258" ht="15.75" customHeight="1">
      <c r="A258" s="84" t="s">
        <v>304</v>
      </c>
    </row>
    <row r="259" ht="15.75" customHeight="1">
      <c r="A259" s="84" t="s">
        <v>305</v>
      </c>
      <c r="B259" s="84">
        <v>200.0</v>
      </c>
    </row>
    <row r="260" ht="15.75" customHeight="1">
      <c r="A260" s="84" t="s">
        <v>306</v>
      </c>
    </row>
    <row r="261" ht="15.75" customHeight="1">
      <c r="A261" s="84" t="s">
        <v>196</v>
      </c>
      <c r="B261" s="84">
        <v>200.0</v>
      </c>
    </row>
    <row r="262" ht="15.75" customHeight="1">
      <c r="A262" s="84" t="s">
        <v>307</v>
      </c>
      <c r="B262" s="84">
        <v>400.0</v>
      </c>
    </row>
    <row r="263" ht="15.75" customHeight="1">
      <c r="A263" s="84" t="s">
        <v>308</v>
      </c>
    </row>
    <row r="264" ht="15.75" customHeight="1">
      <c r="A264" s="84" t="s">
        <v>309</v>
      </c>
      <c r="B264" s="84">
        <v>10.0</v>
      </c>
    </row>
    <row r="265" ht="15.75" customHeight="1">
      <c r="A265" s="84" t="s">
        <v>310</v>
      </c>
      <c r="B265" s="84">
        <v>100.0</v>
      </c>
    </row>
    <row r="266" ht="15.75" customHeight="1">
      <c r="A266" s="84" t="s">
        <v>311</v>
      </c>
    </row>
    <row r="267" ht="15.75" customHeight="1">
      <c r="A267" s="84" t="s">
        <v>312</v>
      </c>
      <c r="B267" s="84">
        <v>200.0</v>
      </c>
    </row>
    <row r="268" ht="15.75" customHeight="1">
      <c r="A268" s="84" t="s">
        <v>313</v>
      </c>
    </row>
    <row r="269" ht="15.75" customHeight="1">
      <c r="A269" s="84" t="s">
        <v>314</v>
      </c>
      <c r="B269" s="84">
        <v>800.0</v>
      </c>
    </row>
    <row r="270" ht="15.75" customHeight="1">
      <c r="A270" s="84" t="s">
        <v>315</v>
      </c>
      <c r="B270" s="84">
        <v>400.0</v>
      </c>
    </row>
    <row r="271" ht="15.75" customHeight="1">
      <c r="A271" s="84" t="s">
        <v>316</v>
      </c>
    </row>
    <row r="272" ht="15.75" customHeight="1">
      <c r="A272" s="84" t="s">
        <v>235</v>
      </c>
      <c r="B272" s="84">
        <v>1000.0</v>
      </c>
    </row>
    <row r="273" ht="15.75" customHeight="1">
      <c r="A273" s="84" t="s">
        <v>317</v>
      </c>
    </row>
    <row r="274" ht="15.75" customHeight="1">
      <c r="A274" s="84" t="s">
        <v>318</v>
      </c>
      <c r="B274" s="84">
        <v>200.0</v>
      </c>
    </row>
    <row r="275" ht="15.75" customHeight="1">
      <c r="A275" s="84" t="s">
        <v>319</v>
      </c>
      <c r="B275" s="84">
        <v>600.0</v>
      </c>
    </row>
    <row r="276" ht="15.75" customHeight="1">
      <c r="A276" s="84" t="s">
        <v>320</v>
      </c>
    </row>
    <row r="277" ht="15.75" customHeight="1">
      <c r="A277" s="84" t="s">
        <v>321</v>
      </c>
    </row>
    <row r="278" ht="15.75" customHeight="1">
      <c r="A278" s="84" t="s">
        <v>322</v>
      </c>
      <c r="B278" s="84">
        <v>300.0</v>
      </c>
    </row>
    <row r="279" ht="15.75" customHeight="1">
      <c r="A279" s="84" t="s">
        <v>323</v>
      </c>
      <c r="B279" s="84">
        <v>800.0</v>
      </c>
    </row>
    <row r="280" ht="15.75" customHeight="1">
      <c r="A280" s="84" t="s">
        <v>324</v>
      </c>
    </row>
    <row r="281" ht="15.75" customHeight="1">
      <c r="A281" s="84" t="s">
        <v>116</v>
      </c>
      <c r="B281" s="84">
        <v>300.0</v>
      </c>
    </row>
    <row r="282" ht="15.75" customHeight="1">
      <c r="A282" s="84" t="s">
        <v>325</v>
      </c>
      <c r="B282" s="84">
        <v>400.0</v>
      </c>
    </row>
    <row r="283" ht="15.75" customHeight="1">
      <c r="A283" s="84" t="s">
        <v>326</v>
      </c>
      <c r="B283" s="84">
        <v>1000.0</v>
      </c>
    </row>
    <row r="284" ht="15.75" customHeight="1">
      <c r="A284" s="84" t="s">
        <v>327</v>
      </c>
    </row>
    <row r="285" ht="15.75" customHeight="1">
      <c r="A285" s="84" t="s">
        <v>328</v>
      </c>
      <c r="B285" s="84">
        <v>300.0</v>
      </c>
    </row>
    <row r="286" ht="15.75" customHeight="1">
      <c r="A286" s="84" t="s">
        <v>152</v>
      </c>
      <c r="B286" s="84">
        <v>400.0</v>
      </c>
    </row>
    <row r="287" ht="15.75" customHeight="1">
      <c r="A287" s="84" t="s">
        <v>329</v>
      </c>
    </row>
    <row r="288" ht="15.75" customHeight="1">
      <c r="A288" s="84" t="s">
        <v>330</v>
      </c>
      <c r="B288" s="84">
        <v>1000.0</v>
      </c>
    </row>
    <row r="289" ht="15.75" customHeight="1">
      <c r="A289" s="84" t="s">
        <v>331</v>
      </c>
      <c r="B289" s="84">
        <v>700.0</v>
      </c>
    </row>
    <row r="290" ht="15.75" customHeight="1">
      <c r="A290" s="84" t="s">
        <v>332</v>
      </c>
    </row>
    <row r="291" ht="15.75" customHeight="1">
      <c r="A291" s="84" t="s">
        <v>333</v>
      </c>
    </row>
    <row r="292" ht="15.75" customHeight="1">
      <c r="A292" s="84" t="s">
        <v>116</v>
      </c>
      <c r="B292" s="84">
        <v>400.0</v>
      </c>
    </row>
    <row r="293" ht="15.75" customHeight="1">
      <c r="A293" s="84" t="s">
        <v>314</v>
      </c>
      <c r="B293" s="84">
        <v>900.0</v>
      </c>
    </row>
    <row r="294" ht="15.75" customHeight="1">
      <c r="A294" s="84" t="s">
        <v>334</v>
      </c>
      <c r="B294" s="84">
        <v>2000.0</v>
      </c>
    </row>
    <row r="295" ht="15.75" customHeight="1">
      <c r="A295" s="84" t="s">
        <v>335</v>
      </c>
      <c r="B295" s="84">
        <v>1300.0</v>
      </c>
    </row>
    <row r="296" ht="15.75" customHeight="1">
      <c r="A296" s="84" t="s">
        <v>336</v>
      </c>
    </row>
    <row r="297" ht="15.75" customHeight="1">
      <c r="A297" s="84" t="s">
        <v>337</v>
      </c>
    </row>
    <row r="298" ht="15.75" customHeight="1">
      <c r="A298" s="84" t="s">
        <v>116</v>
      </c>
      <c r="B298" s="84">
        <v>100.0</v>
      </c>
    </row>
    <row r="299" ht="15.75" customHeight="1">
      <c r="A299" s="84" t="s">
        <v>338</v>
      </c>
      <c r="B299" s="84">
        <v>200.0</v>
      </c>
    </row>
    <row r="300" ht="15.75" customHeight="1">
      <c r="A300" s="84" t="s">
        <v>339</v>
      </c>
    </row>
    <row r="301" ht="15.75" customHeight="1">
      <c r="A301" s="84" t="s">
        <v>116</v>
      </c>
      <c r="B301" s="84">
        <v>100.0</v>
      </c>
    </row>
    <row r="302" ht="15.75" customHeight="1">
      <c r="A302" s="84" t="s">
        <v>340</v>
      </c>
      <c r="B302" s="84">
        <v>300.0</v>
      </c>
    </row>
    <row r="303" ht="15.75" customHeight="1">
      <c r="A303" s="84" t="s">
        <v>341</v>
      </c>
      <c r="B303" s="84">
        <v>600.0</v>
      </c>
    </row>
    <row r="304" ht="15.75" customHeight="1">
      <c r="A304" s="84" t="s">
        <v>342</v>
      </c>
    </row>
    <row r="305" ht="15.75" customHeight="1">
      <c r="A305" s="84" t="s">
        <v>343</v>
      </c>
      <c r="B305" s="84">
        <v>900.0</v>
      </c>
    </row>
    <row r="306" ht="15.75" customHeight="1">
      <c r="A306" s="84" t="s">
        <v>344</v>
      </c>
      <c r="B306" s="84">
        <v>400.0</v>
      </c>
    </row>
    <row r="307" ht="15.75" customHeight="1">
      <c r="A307" s="84" t="s">
        <v>345</v>
      </c>
      <c r="B307" s="84">
        <v>600.0</v>
      </c>
    </row>
    <row r="308" ht="15.75" customHeight="1">
      <c r="A308" s="84" t="s">
        <v>154</v>
      </c>
      <c r="B308" s="84">
        <v>600.0</v>
      </c>
    </row>
    <row r="309" ht="15.75" customHeight="1">
      <c r="A309" s="84" t="s">
        <v>346</v>
      </c>
    </row>
    <row r="310" ht="15.75" customHeight="1">
      <c r="A310" s="84" t="s">
        <v>347</v>
      </c>
      <c r="B310" s="84">
        <v>100.0</v>
      </c>
    </row>
    <row r="311" ht="15.75" customHeight="1">
      <c r="A311" s="84" t="s">
        <v>348</v>
      </c>
      <c r="B311" s="84">
        <v>300.0</v>
      </c>
    </row>
    <row r="312" ht="15.75" customHeight="1">
      <c r="A312" s="84" t="s">
        <v>154</v>
      </c>
      <c r="B312" s="84">
        <v>500.0</v>
      </c>
    </row>
    <row r="313" ht="15.75" customHeight="1">
      <c r="A313" s="84" t="s">
        <v>349</v>
      </c>
    </row>
    <row r="314" ht="15.75" customHeight="1">
      <c r="A314" s="84" t="s">
        <v>350</v>
      </c>
      <c r="B314" s="84">
        <v>300.0</v>
      </c>
    </row>
    <row r="315" ht="15.75" customHeight="1">
      <c r="A315" s="84" t="s">
        <v>351</v>
      </c>
      <c r="B315" s="84">
        <v>200.0</v>
      </c>
    </row>
    <row r="316" ht="15.75" customHeight="1">
      <c r="A316" s="84" t="s">
        <v>352</v>
      </c>
    </row>
    <row r="317" ht="15.75" customHeight="1">
      <c r="A317" s="84" t="s">
        <v>353</v>
      </c>
    </row>
    <row r="318" ht="15.75" customHeight="1">
      <c r="A318" s="84" t="s">
        <v>354</v>
      </c>
      <c r="B318" s="84">
        <v>100.0</v>
      </c>
    </row>
    <row r="319" ht="15.75" customHeight="1">
      <c r="A319" s="84" t="s">
        <v>355</v>
      </c>
      <c r="B319" s="84">
        <v>200.0</v>
      </c>
    </row>
    <row r="320" ht="15.75" customHeight="1">
      <c r="A320" s="84" t="s">
        <v>356</v>
      </c>
    </row>
    <row r="321" ht="15.75" customHeight="1">
      <c r="A321" s="84" t="s">
        <v>357</v>
      </c>
      <c r="B321" s="84">
        <v>200.0</v>
      </c>
    </row>
    <row r="322" ht="15.75" customHeight="1">
      <c r="A322" s="84" t="s">
        <v>358</v>
      </c>
      <c r="B322" s="84">
        <v>400.0</v>
      </c>
    </row>
    <row r="323" ht="15.75" customHeight="1">
      <c r="A323" s="84" t="s">
        <v>359</v>
      </c>
    </row>
    <row r="324" ht="15.75" customHeight="1">
      <c r="A324" s="84" t="s">
        <v>125</v>
      </c>
      <c r="B324" s="84">
        <v>400.0</v>
      </c>
    </row>
    <row r="325" ht="15.75" customHeight="1">
      <c r="A325" s="84" t="s">
        <v>360</v>
      </c>
      <c r="B325" s="84">
        <v>600.0</v>
      </c>
    </row>
    <row r="326" ht="15.75" customHeight="1">
      <c r="A326" s="84" t="s">
        <v>361</v>
      </c>
    </row>
    <row r="327" ht="15.75" customHeight="1">
      <c r="A327" s="84" t="s">
        <v>362</v>
      </c>
      <c r="B327" s="84">
        <v>200.0</v>
      </c>
    </row>
    <row r="328" ht="15.75" customHeight="1">
      <c r="A328" s="84" t="s">
        <v>363</v>
      </c>
      <c r="B328" s="84">
        <v>200.0</v>
      </c>
    </row>
    <row r="329" ht="15.75" customHeight="1">
      <c r="A329" s="84" t="s">
        <v>364</v>
      </c>
      <c r="B329" s="84">
        <v>300.0</v>
      </c>
    </row>
    <row r="330" ht="15.75" customHeight="1">
      <c r="A330" s="84" t="s">
        <v>365</v>
      </c>
    </row>
    <row r="331" ht="15.75" customHeight="1">
      <c r="A331" s="84" t="s">
        <v>366</v>
      </c>
      <c r="B331" s="84">
        <v>300.0</v>
      </c>
    </row>
    <row r="332" ht="15.75" customHeight="1">
      <c r="A332" s="84" t="s">
        <v>367</v>
      </c>
      <c r="B332" s="84">
        <v>400.0</v>
      </c>
    </row>
    <row r="333" ht="15.75" customHeight="1">
      <c r="A333" s="84" t="s">
        <v>368</v>
      </c>
    </row>
    <row r="334" ht="15.75" customHeight="1">
      <c r="A334" s="84" t="s">
        <v>369</v>
      </c>
      <c r="B334" s="84">
        <v>200.0</v>
      </c>
    </row>
    <row r="335" ht="15.75" customHeight="1">
      <c r="A335" s="84" t="s">
        <v>370</v>
      </c>
      <c r="B335" s="84">
        <v>600.0</v>
      </c>
    </row>
    <row r="336" ht="15.75" customHeight="1">
      <c r="A336" s="84" t="s">
        <v>371</v>
      </c>
      <c r="B336" s="84">
        <v>1000.0</v>
      </c>
    </row>
    <row r="337" ht="15.75" customHeight="1">
      <c r="A337" s="84" t="s">
        <v>372</v>
      </c>
    </row>
    <row r="338" ht="15.75" customHeight="1">
      <c r="A338" s="84" t="s">
        <v>373</v>
      </c>
      <c r="B338" s="84">
        <v>300.0</v>
      </c>
    </row>
    <row r="339" ht="15.75" customHeight="1">
      <c r="A339" s="84" t="s">
        <v>374</v>
      </c>
      <c r="B339" s="84">
        <v>400.0</v>
      </c>
    </row>
    <row r="340" ht="15.75" customHeight="1">
      <c r="A340" s="84" t="s">
        <v>375</v>
      </c>
    </row>
    <row r="341" ht="15.75" customHeight="1">
      <c r="A341" s="84" t="s">
        <v>376</v>
      </c>
      <c r="B341" s="84">
        <v>100.0</v>
      </c>
    </row>
    <row r="342" ht="15.75" customHeight="1">
      <c r="A342" s="84" t="s">
        <v>377</v>
      </c>
      <c r="B342" s="84">
        <v>200.0</v>
      </c>
    </row>
    <row r="343" ht="15.75" customHeight="1">
      <c r="A343" s="84" t="s">
        <v>378</v>
      </c>
      <c r="B343" s="84">
        <v>300.0</v>
      </c>
    </row>
    <row r="344" ht="15.75" customHeight="1">
      <c r="A344" s="84" t="s">
        <v>379</v>
      </c>
    </row>
    <row r="345" ht="15.75" customHeight="1">
      <c r="A345" s="84" t="s">
        <v>380</v>
      </c>
      <c r="B345" s="84">
        <v>400.0</v>
      </c>
    </row>
    <row r="346" ht="15.75" customHeight="1">
      <c r="A346" s="84" t="s">
        <v>381</v>
      </c>
    </row>
    <row r="347" ht="15.75" customHeight="1">
      <c r="A347" s="84" t="s">
        <v>382</v>
      </c>
    </row>
    <row r="348" ht="15.75" customHeight="1">
      <c r="A348" s="84" t="s">
        <v>383</v>
      </c>
      <c r="B348" s="84">
        <v>200.0</v>
      </c>
    </row>
    <row r="349" ht="15.75" customHeight="1">
      <c r="A349" s="84" t="s">
        <v>384</v>
      </c>
      <c r="B349" s="84">
        <v>200.0</v>
      </c>
    </row>
    <row r="350" ht="15.75" customHeight="1">
      <c r="A350" s="84" t="s">
        <v>385</v>
      </c>
    </row>
    <row r="351" ht="15.75" customHeight="1">
      <c r="A351" s="84" t="s">
        <v>386</v>
      </c>
      <c r="B351" s="84">
        <v>700.0</v>
      </c>
    </row>
    <row r="352" ht="15.75" customHeight="1">
      <c r="A352" s="84" t="s">
        <v>387</v>
      </c>
    </row>
    <row r="353" ht="15.75" customHeight="1">
      <c r="A353" s="84" t="s">
        <v>388</v>
      </c>
      <c r="B353" s="84">
        <v>400.0</v>
      </c>
    </row>
    <row r="354" ht="15.75" customHeight="1">
      <c r="A354" s="84" t="s">
        <v>389</v>
      </c>
      <c r="B354" s="84">
        <v>700.0</v>
      </c>
    </row>
    <row r="355" ht="15.75" customHeight="1">
      <c r="A355" s="84" t="s">
        <v>316</v>
      </c>
    </row>
    <row r="356" ht="15.75" customHeight="1">
      <c r="A356" s="84" t="s">
        <v>388</v>
      </c>
      <c r="B356" s="84">
        <v>600.0</v>
      </c>
    </row>
    <row r="357" ht="15.75" customHeight="1">
      <c r="A357" s="84" t="s">
        <v>389</v>
      </c>
      <c r="B357" s="84">
        <v>900.0</v>
      </c>
    </row>
    <row r="358" ht="15.75" customHeight="1">
      <c r="A358" s="84" t="s">
        <v>390</v>
      </c>
    </row>
    <row r="359" ht="15.75" customHeight="1">
      <c r="A359" s="84" t="s">
        <v>391</v>
      </c>
      <c r="B359" s="84">
        <v>200.0</v>
      </c>
    </row>
    <row r="360" ht="15.75" customHeight="1">
      <c r="A360" s="84" t="s">
        <v>392</v>
      </c>
      <c r="B360" s="84">
        <v>200.0</v>
      </c>
    </row>
    <row r="361" ht="15.75" customHeight="1">
      <c r="A361" s="84" t="s">
        <v>393</v>
      </c>
    </row>
    <row r="362" ht="15.75" customHeight="1">
      <c r="A362" s="84" t="s">
        <v>388</v>
      </c>
      <c r="B362" s="84">
        <v>600.0</v>
      </c>
    </row>
    <row r="363" ht="15.75" customHeight="1">
      <c r="A363" s="84" t="s">
        <v>394</v>
      </c>
      <c r="B363" s="84">
        <v>900.0</v>
      </c>
    </row>
    <row r="364" ht="15.75" customHeight="1">
      <c r="A364" s="84" t="s">
        <v>395</v>
      </c>
      <c r="B364" s="84">
        <v>900.0</v>
      </c>
    </row>
    <row r="365" ht="15.75" customHeight="1">
      <c r="A365" s="84" t="s">
        <v>316</v>
      </c>
    </row>
    <row r="366" ht="15.75" customHeight="1">
      <c r="A366" s="84" t="s">
        <v>388</v>
      </c>
      <c r="B366" s="84">
        <v>1200.0</v>
      </c>
    </row>
    <row r="367" ht="15.75" customHeight="1">
      <c r="A367" s="84" t="s">
        <v>389</v>
      </c>
      <c r="B367" s="84">
        <v>1500.0</v>
      </c>
    </row>
    <row r="368" ht="15.75" customHeight="1">
      <c r="A368" s="84" t="s">
        <v>396</v>
      </c>
    </row>
    <row r="369" ht="15.75" customHeight="1">
      <c r="A369" s="84" t="s">
        <v>397</v>
      </c>
      <c r="B369" s="84">
        <v>300.0</v>
      </c>
    </row>
    <row r="370" ht="15.75" customHeight="1">
      <c r="A370" s="84" t="s">
        <v>398</v>
      </c>
      <c r="B370" s="84">
        <v>700.0</v>
      </c>
    </row>
    <row r="371" ht="15.75" customHeight="1">
      <c r="A371" s="84" t="s">
        <v>399</v>
      </c>
      <c r="B371" s="84">
        <v>450.0</v>
      </c>
    </row>
    <row r="372" ht="15.75" customHeight="1">
      <c r="A372" s="84" t="s">
        <v>393</v>
      </c>
    </row>
    <row r="373" ht="15.75" customHeight="1">
      <c r="A373" s="84" t="s">
        <v>388</v>
      </c>
      <c r="B373" s="84">
        <v>600.0</v>
      </c>
    </row>
    <row r="374" ht="15.75" customHeight="1">
      <c r="A374" s="84" t="s">
        <v>389</v>
      </c>
      <c r="B374" s="84">
        <v>900.0</v>
      </c>
    </row>
    <row r="375" ht="15.75" customHeight="1">
      <c r="A375" s="84" t="s">
        <v>400</v>
      </c>
    </row>
    <row r="376" ht="15.75" customHeight="1">
      <c r="A376" s="84" t="s">
        <v>401</v>
      </c>
      <c r="B376" s="84">
        <v>200.0</v>
      </c>
    </row>
    <row r="377" ht="15.75" customHeight="1">
      <c r="A377" s="84" t="s">
        <v>402</v>
      </c>
      <c r="B377" s="84">
        <v>200.0</v>
      </c>
    </row>
    <row r="378" ht="15.75" customHeight="1">
      <c r="A378" s="84" t="s">
        <v>403</v>
      </c>
    </row>
    <row r="379" ht="15.75" customHeight="1">
      <c r="A379" s="84" t="s">
        <v>404</v>
      </c>
    </row>
    <row r="380" ht="15.75" customHeight="1">
      <c r="A380" s="84" t="s">
        <v>405</v>
      </c>
      <c r="B380" s="84">
        <v>400.0</v>
      </c>
    </row>
    <row r="381" ht="15.75" customHeight="1">
      <c r="A381" s="84" t="s">
        <v>142</v>
      </c>
      <c r="B381" s="84">
        <v>600.0</v>
      </c>
    </row>
    <row r="382" ht="15.75" customHeight="1">
      <c r="A382" s="84" t="s">
        <v>406</v>
      </c>
    </row>
    <row r="383" ht="15.75" customHeight="1">
      <c r="A383" s="84" t="s">
        <v>407</v>
      </c>
      <c r="B383" s="84">
        <v>600.0</v>
      </c>
    </row>
    <row r="384" ht="15.75" customHeight="1">
      <c r="A384" s="84" t="s">
        <v>408</v>
      </c>
      <c r="B384" s="84">
        <v>800.0</v>
      </c>
    </row>
    <row r="385" ht="15.75" customHeight="1">
      <c r="A385" s="84" t="s">
        <v>409</v>
      </c>
    </row>
    <row r="386" ht="15.75" customHeight="1">
      <c r="A386" s="84" t="s">
        <v>410</v>
      </c>
      <c r="B386" s="84">
        <v>400.0</v>
      </c>
    </row>
    <row r="387" ht="15.75" customHeight="1">
      <c r="A387" s="84" t="s">
        <v>142</v>
      </c>
      <c r="B387" s="84">
        <v>600.0</v>
      </c>
    </row>
    <row r="388" ht="15.75" customHeight="1">
      <c r="A388" s="84" t="s">
        <v>411</v>
      </c>
      <c r="B388" s="84">
        <v>1000.0</v>
      </c>
    </row>
    <row r="389" ht="15.75" customHeight="1">
      <c r="A389" s="84" t="s">
        <v>412</v>
      </c>
    </row>
    <row r="390" ht="15.75" customHeight="1">
      <c r="A390" s="84" t="s">
        <v>413</v>
      </c>
    </row>
    <row r="391" ht="15.75" customHeight="1">
      <c r="A391" s="84" t="s">
        <v>116</v>
      </c>
      <c r="B391" s="84">
        <v>200.0</v>
      </c>
    </row>
    <row r="392" ht="15.75" customHeight="1">
      <c r="A392" s="84" t="s">
        <v>414</v>
      </c>
      <c r="B392" s="84">
        <v>400.0</v>
      </c>
    </row>
    <row r="393" ht="15.75" customHeight="1">
      <c r="A393" s="84" t="s">
        <v>415</v>
      </c>
      <c r="B393" s="84">
        <v>100.0</v>
      </c>
    </row>
    <row r="394" ht="15.75" customHeight="1">
      <c r="A394" s="84" t="s">
        <v>416</v>
      </c>
    </row>
    <row r="395" ht="15.75" customHeight="1">
      <c r="A395" s="84" t="s">
        <v>116</v>
      </c>
      <c r="B395" s="84">
        <v>200.0</v>
      </c>
    </row>
    <row r="396" ht="15.75" customHeight="1">
      <c r="A396" s="84" t="s">
        <v>417</v>
      </c>
    </row>
    <row r="397" ht="15.75" customHeight="1">
      <c r="A397" s="84" t="s">
        <v>116</v>
      </c>
      <c r="B397" s="84">
        <v>200.0</v>
      </c>
    </row>
    <row r="398" ht="15.75" customHeight="1">
      <c r="A398" s="84" t="s">
        <v>418</v>
      </c>
      <c r="B398" s="84">
        <v>400.0</v>
      </c>
    </row>
    <row r="399" ht="15.75" customHeight="1">
      <c r="A399" s="84" t="s">
        <v>419</v>
      </c>
      <c r="B399" s="84">
        <v>200.0</v>
      </c>
    </row>
    <row r="400" ht="15.75" customHeight="1">
      <c r="A400" s="84" t="s">
        <v>316</v>
      </c>
    </row>
    <row r="401" ht="15.75" customHeight="1">
      <c r="A401" s="84" t="s">
        <v>420</v>
      </c>
      <c r="B401" s="84">
        <v>400.0</v>
      </c>
    </row>
    <row r="402" ht="15.75" customHeight="1"/>
    <row r="403" ht="15.75" customHeight="1">
      <c r="A403" s="84" t="s">
        <v>421</v>
      </c>
    </row>
    <row r="404" ht="15.75" customHeight="1">
      <c r="A404" s="84" t="s">
        <v>422</v>
      </c>
    </row>
    <row r="405" ht="15.75" customHeight="1"/>
    <row r="406" ht="15.75" customHeight="1">
      <c r="A406" s="84" t="s">
        <v>423</v>
      </c>
      <c r="B406" s="84" t="s">
        <v>424</v>
      </c>
    </row>
    <row r="407" ht="15.75" customHeight="1">
      <c r="B407" s="84" t="s">
        <v>425</v>
      </c>
    </row>
    <row r="408" ht="15.75" customHeight="1">
      <c r="A408" s="84" t="s">
        <v>426</v>
      </c>
      <c r="B408" s="84">
        <v>0.12569444444444444</v>
      </c>
    </row>
    <row r="409" ht="15.75" customHeight="1">
      <c r="A409" s="84" t="s">
        <v>427</v>
      </c>
      <c r="B409" s="84">
        <v>0.4173611111111111</v>
      </c>
    </row>
    <row r="410" ht="15.75" customHeight="1">
      <c r="A410" s="84" t="s">
        <v>428</v>
      </c>
      <c r="B410" s="84">
        <v>0.8340277777777777</v>
      </c>
    </row>
    <row r="411" ht="15.75" customHeight="1">
      <c r="A411" s="84" t="s">
        <v>429</v>
      </c>
      <c r="B411" s="84">
        <v>1.667361111111111</v>
      </c>
    </row>
    <row r="412" ht="15.75" customHeight="1"/>
    <row r="413" ht="15.75" customHeight="1">
      <c r="A413" s="84" t="s">
        <v>430</v>
      </c>
    </row>
    <row r="414" ht="15.75" customHeight="1">
      <c r="A414" s="84" t="s">
        <v>431</v>
      </c>
    </row>
    <row r="415" ht="15.75" customHeight="1">
      <c r="A415" s="84" t="s">
        <v>120</v>
      </c>
    </row>
    <row r="416" ht="15.75" customHeight="1"/>
    <row r="417" ht="15.75" customHeight="1">
      <c r="A417" s="84" t="s">
        <v>432</v>
      </c>
      <c r="B417" s="84" t="s">
        <v>420</v>
      </c>
    </row>
    <row r="418" ht="15.75" customHeight="1">
      <c r="A418" s="84" t="s">
        <v>433</v>
      </c>
      <c r="B418" s="84" t="s">
        <v>434</v>
      </c>
    </row>
    <row r="419" ht="15.75" customHeight="1">
      <c r="A419" s="84" t="s">
        <v>435</v>
      </c>
      <c r="B419" s="84" t="s">
        <v>433</v>
      </c>
    </row>
    <row r="420" ht="15.75" customHeight="1">
      <c r="A420" s="84" t="s">
        <v>436</v>
      </c>
      <c r="B420" s="84" t="s">
        <v>437</v>
      </c>
    </row>
    <row r="421" ht="15.75" customHeight="1">
      <c r="A421" s="84" t="s">
        <v>438</v>
      </c>
      <c r="B421" s="84" t="s">
        <v>435</v>
      </c>
    </row>
    <row r="422" ht="15.75" customHeight="1">
      <c r="A422" s="84" t="s">
        <v>439</v>
      </c>
      <c r="B422" s="84" t="s">
        <v>440</v>
      </c>
    </row>
    <row r="423" ht="15.75" customHeight="1">
      <c r="A423" s="84" t="s">
        <v>441</v>
      </c>
      <c r="B423" s="84" t="s">
        <v>442</v>
      </c>
    </row>
    <row r="424" ht="15.75" customHeight="1"/>
    <row r="425" ht="15.75" customHeight="1">
      <c r="A425" s="84" t="s">
        <v>443</v>
      </c>
    </row>
    <row r="426" ht="15.75" customHeight="1"/>
    <row r="427" ht="15.75" customHeight="1">
      <c r="A427" s="84" t="s">
        <v>444</v>
      </c>
    </row>
    <row r="428" ht="15.75" customHeight="1">
      <c r="A428" s="84" t="s">
        <v>445</v>
      </c>
    </row>
    <row r="429" ht="15.75" customHeight="1"/>
    <row r="430" ht="15.75" customHeight="1">
      <c r="A430" s="84" t="s">
        <v>446</v>
      </c>
      <c r="B430" s="84" t="s">
        <v>447</v>
      </c>
    </row>
    <row r="431" ht="15.75" customHeight="1">
      <c r="A431" s="84" t="s">
        <v>448</v>
      </c>
      <c r="B431" s="84" t="s">
        <v>449</v>
      </c>
    </row>
    <row r="432" ht="15.75" customHeight="1">
      <c r="A432" s="84" t="s">
        <v>450</v>
      </c>
      <c r="B432" s="84" t="s">
        <v>451</v>
      </c>
    </row>
    <row r="433" ht="15.75" customHeight="1">
      <c r="A433" s="84" t="s">
        <v>452</v>
      </c>
      <c r="B433" s="84" t="s">
        <v>453</v>
      </c>
    </row>
    <row r="434" ht="15.75" customHeight="1">
      <c r="A434" s="84" t="s">
        <v>454</v>
      </c>
      <c r="B434" s="84" t="s">
        <v>455</v>
      </c>
    </row>
    <row r="435" ht="15.75" customHeight="1">
      <c r="A435" s="84" t="s">
        <v>456</v>
      </c>
      <c r="B435" s="84" t="s">
        <v>457</v>
      </c>
    </row>
    <row r="436" ht="15.75" customHeight="1">
      <c r="A436" s="84" t="s">
        <v>458</v>
      </c>
      <c r="B436" s="84" t="s">
        <v>459</v>
      </c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5.57"/>
    <col customWidth="1" min="2" max="26" width="11.43"/>
  </cols>
  <sheetData>
    <row r="1">
      <c r="A1" s="84" t="s">
        <v>460</v>
      </c>
    </row>
    <row r="2">
      <c r="A2" s="84" t="s">
        <v>461</v>
      </c>
      <c r="E2" s="84" t="s">
        <v>462</v>
      </c>
    </row>
    <row r="3">
      <c r="A3" s="84" t="s">
        <v>463</v>
      </c>
    </row>
    <row r="4">
      <c r="A4" s="84" t="s">
        <v>120</v>
      </c>
    </row>
    <row r="5">
      <c r="A5" s="84" t="s">
        <v>463</v>
      </c>
      <c r="B5" s="84" t="s">
        <v>464</v>
      </c>
      <c r="C5" s="84" t="s">
        <v>465</v>
      </c>
    </row>
    <row r="6">
      <c r="B6" s="84" t="s">
        <v>466</v>
      </c>
    </row>
    <row r="8">
      <c r="A8" s="84" t="s">
        <v>467</v>
      </c>
      <c r="B8" s="84">
        <v>100.0</v>
      </c>
      <c r="C8" s="84" t="s">
        <v>468</v>
      </c>
    </row>
    <row r="9">
      <c r="C9" s="84" t="s">
        <v>469</v>
      </c>
    </row>
    <row r="10">
      <c r="A10" s="84" t="s">
        <v>470</v>
      </c>
      <c r="B10" s="84" t="s">
        <v>471</v>
      </c>
      <c r="C10" s="84" t="s">
        <v>472</v>
      </c>
    </row>
    <row r="11">
      <c r="A11" s="84" t="s">
        <v>473</v>
      </c>
      <c r="B11" s="84" t="s">
        <v>474</v>
      </c>
      <c r="C11" s="84" t="s">
        <v>475</v>
      </c>
    </row>
    <row r="12">
      <c r="A12" s="84" t="s">
        <v>476</v>
      </c>
      <c r="B12" s="84" t="s">
        <v>477</v>
      </c>
      <c r="C12" s="84" t="s">
        <v>478</v>
      </c>
    </row>
    <row r="13">
      <c r="A13" s="84" t="s">
        <v>479</v>
      </c>
      <c r="B13" s="84" t="s">
        <v>480</v>
      </c>
      <c r="C13" s="84" t="s">
        <v>481</v>
      </c>
    </row>
    <row r="14">
      <c r="B14" s="84">
        <v>3000.0</v>
      </c>
      <c r="C14" s="84" t="s">
        <v>482</v>
      </c>
    </row>
    <row r="15">
      <c r="A15" s="84" t="s">
        <v>483</v>
      </c>
      <c r="B15" s="84" t="s">
        <v>484</v>
      </c>
      <c r="C15" s="84" t="s">
        <v>485</v>
      </c>
    </row>
    <row r="18">
      <c r="A18" s="84" t="s">
        <v>486</v>
      </c>
    </row>
    <row r="19">
      <c r="A19" s="84" t="s">
        <v>487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86"/>
    <col customWidth="1" min="3" max="3" width="15.0"/>
    <col customWidth="1" min="4" max="4" width="8.29"/>
    <col customWidth="1" min="5" max="11" width="11.43"/>
    <col customWidth="1" min="12" max="12" width="10.86"/>
    <col customWidth="1" min="13" max="13" width="19.14"/>
    <col customWidth="1" min="14" max="26" width="11.43"/>
  </cols>
  <sheetData>
    <row r="1">
      <c r="L1" s="84" t="s">
        <v>488</v>
      </c>
    </row>
    <row r="2">
      <c r="L2" s="84" t="s">
        <v>489</v>
      </c>
      <c r="M2" s="84" t="s">
        <v>490</v>
      </c>
      <c r="N2" s="84" t="s">
        <v>491</v>
      </c>
      <c r="O2" s="84" t="s">
        <v>492</v>
      </c>
    </row>
    <row r="3">
      <c r="L3" s="84">
        <v>8.0</v>
      </c>
      <c r="M3" s="84">
        <v>24.0</v>
      </c>
      <c r="N3" s="84">
        <f t="shared" ref="N3:N7" si="1">+L3/M3</f>
        <v>0.3333333333</v>
      </c>
      <c r="O3" s="84">
        <f>+N30+0</f>
        <v>0</v>
      </c>
    </row>
    <row r="4">
      <c r="L4" s="84">
        <v>4.0</v>
      </c>
      <c r="M4" s="84">
        <v>24.0</v>
      </c>
      <c r="N4" s="84">
        <f t="shared" si="1"/>
        <v>0.1666666667</v>
      </c>
      <c r="O4" s="84">
        <f>+N4+N5</f>
        <v>0.3333333333</v>
      </c>
    </row>
    <row r="5">
      <c r="L5" s="84">
        <v>4.0</v>
      </c>
      <c r="M5" s="84">
        <v>24.0</v>
      </c>
      <c r="N5" s="84">
        <f t="shared" si="1"/>
        <v>0.1666666667</v>
      </c>
    </row>
    <row r="6">
      <c r="L6" s="84">
        <v>8.0</v>
      </c>
      <c r="M6" s="84">
        <v>24.0</v>
      </c>
      <c r="N6" s="84">
        <f t="shared" si="1"/>
        <v>0.3333333333</v>
      </c>
      <c r="O6" s="84">
        <f t="shared" ref="O6:O7" si="2">+N6+0</f>
        <v>0.3333333333</v>
      </c>
    </row>
    <row r="7">
      <c r="H7" s="84">
        <f>7.5/24</f>
        <v>0.3125</v>
      </c>
      <c r="I7" s="84">
        <v>0.11</v>
      </c>
      <c r="L7" s="84">
        <v>8.0</v>
      </c>
      <c r="M7" s="84">
        <v>24.0</v>
      </c>
      <c r="N7" s="84">
        <f t="shared" si="1"/>
        <v>0.3333333333</v>
      </c>
      <c r="O7" s="84">
        <f t="shared" si="2"/>
        <v>0.3333333333</v>
      </c>
    </row>
    <row r="8">
      <c r="B8" s="114" t="s">
        <v>493</v>
      </c>
      <c r="C8" s="114" t="s">
        <v>494</v>
      </c>
      <c r="D8" s="114" t="s">
        <v>491</v>
      </c>
    </row>
    <row r="9">
      <c r="B9" s="86">
        <v>30.0</v>
      </c>
      <c r="C9" s="86">
        <v>7.5</v>
      </c>
      <c r="D9" s="86">
        <f t="shared" ref="D9:D10" si="3">+B9/C9</f>
        <v>4</v>
      </c>
      <c r="I9" s="84">
        <v>47.0</v>
      </c>
      <c r="J9" s="84">
        <v>3.77</v>
      </c>
    </row>
    <row r="10">
      <c r="B10" s="86">
        <v>15.0</v>
      </c>
      <c r="C10" s="86">
        <f>24*60</f>
        <v>1440</v>
      </c>
      <c r="D10" s="87">
        <f t="shared" si="3"/>
        <v>0.01041666667</v>
      </c>
      <c r="I10" s="84">
        <f>60*8</f>
        <v>480</v>
      </c>
      <c r="J10" s="84">
        <f>+I10*J9/I9</f>
        <v>38.50212766</v>
      </c>
    </row>
    <row r="11">
      <c r="M11" s="84">
        <f>0.5/4</f>
        <v>0.125</v>
      </c>
    </row>
    <row r="13">
      <c r="L13" s="84" t="s">
        <v>489</v>
      </c>
      <c r="M13" s="84" t="s">
        <v>490</v>
      </c>
      <c r="N13" s="84" t="s">
        <v>491</v>
      </c>
    </row>
    <row r="14">
      <c r="K14" s="84">
        <v>87.0</v>
      </c>
      <c r="L14" s="84">
        <v>0.5</v>
      </c>
      <c r="M14" s="84">
        <v>4.0</v>
      </c>
      <c r="N14" s="84">
        <f t="shared" ref="N14:N18" si="4">+L14/M14</f>
        <v>0.125</v>
      </c>
    </row>
    <row r="15">
      <c r="K15" s="84">
        <v>103.0</v>
      </c>
      <c r="L15" s="84">
        <v>0.5</v>
      </c>
      <c r="M15" s="84">
        <f>7.5/60</f>
        <v>0.125</v>
      </c>
      <c r="N15" s="84">
        <f t="shared" si="4"/>
        <v>4</v>
      </c>
    </row>
    <row r="16">
      <c r="H16" s="84">
        <f>180*5.65/60</f>
        <v>16.95</v>
      </c>
      <c r="L16" s="84">
        <v>4.0</v>
      </c>
      <c r="M16" s="84">
        <v>24.0</v>
      </c>
      <c r="N16" s="84">
        <f t="shared" si="4"/>
        <v>0.1666666667</v>
      </c>
    </row>
    <row r="17">
      <c r="L17" s="84">
        <v>8.0</v>
      </c>
      <c r="M17" s="84">
        <v>24.0</v>
      </c>
      <c r="N17" s="84">
        <f t="shared" si="4"/>
        <v>0.3333333333</v>
      </c>
    </row>
    <row r="18">
      <c r="L18" s="84">
        <v>8.0</v>
      </c>
      <c r="M18" s="84">
        <v>24.0</v>
      </c>
      <c r="N18" s="84">
        <f t="shared" si="4"/>
        <v>0.3333333333</v>
      </c>
    </row>
    <row r="20" ht="36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I27" s="84">
        <f>10/60</f>
        <v>0.1666666667</v>
      </c>
    </row>
    <row r="28" ht="15.75" customHeight="1">
      <c r="M28" s="84">
        <f>0.17*6</f>
        <v>1.02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6" width="11.43"/>
  </cols>
  <sheetData>
    <row r="1">
      <c r="A1" s="84" t="s">
        <v>495</v>
      </c>
      <c r="B1" s="84">
        <v>3.77</v>
      </c>
      <c r="C1" s="84" t="s">
        <v>496</v>
      </c>
    </row>
    <row r="2">
      <c r="A2" s="84" t="s">
        <v>497</v>
      </c>
      <c r="B2" s="84">
        <f>60*3</f>
        <v>180</v>
      </c>
      <c r="C2" s="84" t="s">
        <v>498</v>
      </c>
    </row>
    <row r="3">
      <c r="A3" s="84" t="s">
        <v>499</v>
      </c>
      <c r="B3" s="84">
        <v>47.0</v>
      </c>
      <c r="C3" s="84" t="s">
        <v>498</v>
      </c>
      <c r="G3" s="84" t="s">
        <v>500</v>
      </c>
      <c r="H3" s="84">
        <v>47.9</v>
      </c>
      <c r="I3" s="84" t="s">
        <v>496</v>
      </c>
    </row>
    <row r="4">
      <c r="A4" s="84" t="s">
        <v>501</v>
      </c>
      <c r="B4" s="84">
        <f>+B1*B2/B3</f>
        <v>14.43829787</v>
      </c>
      <c r="C4" s="84" t="s">
        <v>496</v>
      </c>
      <c r="G4" s="84" t="s">
        <v>502</v>
      </c>
      <c r="H4" s="84">
        <f>60*4</f>
        <v>240</v>
      </c>
      <c r="I4" s="84" t="s">
        <v>498</v>
      </c>
    </row>
    <row r="5">
      <c r="G5" s="84" t="s">
        <v>503</v>
      </c>
      <c r="H5" s="84">
        <v>79.0</v>
      </c>
      <c r="I5" s="84" t="s">
        <v>498</v>
      </c>
    </row>
    <row r="6">
      <c r="G6" s="84" t="s">
        <v>504</v>
      </c>
      <c r="H6" s="84">
        <f>+H3*H4/H5</f>
        <v>145.5189873</v>
      </c>
      <c r="I6" s="84" t="s">
        <v>496</v>
      </c>
    </row>
    <row r="7">
      <c r="A7" s="84" t="s">
        <v>500</v>
      </c>
      <c r="B7" s="84">
        <v>11.59</v>
      </c>
      <c r="C7" s="84" t="s">
        <v>496</v>
      </c>
    </row>
    <row r="8">
      <c r="A8" s="84" t="s">
        <v>505</v>
      </c>
      <c r="B8" s="84">
        <f>60*8</f>
        <v>480</v>
      </c>
      <c r="C8" s="84" t="s">
        <v>498</v>
      </c>
    </row>
    <row r="9">
      <c r="A9" s="84" t="s">
        <v>503</v>
      </c>
      <c r="B9" s="84">
        <v>110.0</v>
      </c>
      <c r="C9" s="84" t="s">
        <v>498</v>
      </c>
    </row>
    <row r="10">
      <c r="A10" s="84" t="s">
        <v>506</v>
      </c>
      <c r="B10" s="84">
        <f>+B7*B8/B9</f>
        <v>50.57454545</v>
      </c>
      <c r="C10" s="84" t="s">
        <v>496</v>
      </c>
    </row>
    <row r="12">
      <c r="D12" s="84" t="s">
        <v>507</v>
      </c>
    </row>
    <row r="15">
      <c r="A15" s="84" t="s">
        <v>76</v>
      </c>
      <c r="B15" s="84">
        <v>27.5</v>
      </c>
    </row>
    <row r="16">
      <c r="A16" s="84" t="s">
        <v>75</v>
      </c>
      <c r="B16" s="84">
        <v>26.4</v>
      </c>
    </row>
    <row r="17">
      <c r="A17" s="84" t="s">
        <v>508</v>
      </c>
      <c r="B17" s="84">
        <v>0.7</v>
      </c>
    </row>
    <row r="18">
      <c r="A18" s="84" t="s">
        <v>508</v>
      </c>
      <c r="B18" s="84">
        <v>0.3</v>
      </c>
    </row>
    <row r="19">
      <c r="A19" s="84" t="s">
        <v>509</v>
      </c>
      <c r="B19" s="84">
        <f>+(B17*B16)+(B18*B15)</f>
        <v>26.73</v>
      </c>
    </row>
    <row r="20">
      <c r="G20" s="84">
        <f>172+42</f>
        <v>214</v>
      </c>
    </row>
    <row r="21" ht="15.75" customHeight="1">
      <c r="A21" s="84" t="s">
        <v>76</v>
      </c>
      <c r="B21" s="84">
        <v>24.2</v>
      </c>
    </row>
    <row r="22" ht="15.75" customHeight="1">
      <c r="A22" s="84" t="s">
        <v>75</v>
      </c>
      <c r="B22" s="84">
        <v>23.6</v>
      </c>
    </row>
    <row r="23" ht="15.75" customHeight="1">
      <c r="A23" s="84" t="s">
        <v>508</v>
      </c>
      <c r="B23" s="84">
        <v>0.7</v>
      </c>
      <c r="F23" s="115">
        <v>25.9</v>
      </c>
      <c r="G23" s="116">
        <v>26.1</v>
      </c>
      <c r="H23" s="116">
        <v>26.4</v>
      </c>
      <c r="I23" s="117">
        <v>26.1</v>
      </c>
    </row>
    <row r="24" ht="15.75" customHeight="1">
      <c r="A24" s="84" t="s">
        <v>508</v>
      </c>
      <c r="B24" s="84">
        <v>0.3</v>
      </c>
    </row>
    <row r="25" ht="15.75" customHeight="1">
      <c r="A25" s="84" t="s">
        <v>509</v>
      </c>
      <c r="B25" s="84">
        <f>+(B23*B22)+(B24*B21)</f>
        <v>23.78</v>
      </c>
    </row>
    <row r="26" ht="15.75" customHeight="1"/>
    <row r="27" ht="15.75" customHeight="1">
      <c r="A27" s="84" t="s">
        <v>76</v>
      </c>
      <c r="B27" s="84">
        <v>26.3</v>
      </c>
    </row>
    <row r="28" ht="15.75" customHeight="1">
      <c r="A28" s="84" t="s">
        <v>75</v>
      </c>
      <c r="B28" s="84">
        <v>25.6</v>
      </c>
    </row>
    <row r="29" ht="15.75" customHeight="1">
      <c r="A29" s="84" t="s">
        <v>508</v>
      </c>
      <c r="B29" s="84">
        <v>0.7</v>
      </c>
    </row>
    <row r="30" ht="15.75" customHeight="1">
      <c r="A30" s="84" t="s">
        <v>508</v>
      </c>
      <c r="B30" s="84">
        <v>0.3</v>
      </c>
    </row>
    <row r="31" ht="15.75" customHeight="1">
      <c r="A31" s="84" t="s">
        <v>509</v>
      </c>
      <c r="B31" s="84">
        <f>+(B29*B28)+(B30*B27)</f>
        <v>25.81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3">
      <c r="A3" s="84" t="s">
        <v>510</v>
      </c>
      <c r="B3" s="84" t="s">
        <v>511</v>
      </c>
      <c r="C3" s="84" t="s">
        <v>512</v>
      </c>
      <c r="D3" s="84" t="s">
        <v>513</v>
      </c>
      <c r="E3" s="84" t="s">
        <v>514</v>
      </c>
      <c r="F3" s="84" t="s">
        <v>73</v>
      </c>
      <c r="G3" s="84" t="s">
        <v>515</v>
      </c>
    </row>
    <row r="4">
      <c r="A4" s="84">
        <v>23.0</v>
      </c>
      <c r="B4" s="84" t="s">
        <v>516</v>
      </c>
      <c r="C4" s="84" t="s">
        <v>517</v>
      </c>
      <c r="D4" s="84">
        <v>116.0</v>
      </c>
      <c r="E4" s="84">
        <v>4.0</v>
      </c>
      <c r="F4" s="84">
        <v>3.0</v>
      </c>
      <c r="G4" s="84">
        <v>3.0</v>
      </c>
    </row>
    <row r="5">
      <c r="A5" s="84">
        <v>44.0</v>
      </c>
      <c r="B5" s="84" t="s">
        <v>518</v>
      </c>
      <c r="C5" s="84" t="s">
        <v>519</v>
      </c>
      <c r="D5" s="84">
        <v>102.0</v>
      </c>
      <c r="E5" s="84">
        <v>3.0</v>
      </c>
      <c r="F5" s="84">
        <v>3.0</v>
      </c>
      <c r="G5" s="84">
        <v>3.0</v>
      </c>
    </row>
    <row r="6">
      <c r="A6" s="84">
        <v>63.0</v>
      </c>
      <c r="B6" s="84" t="s">
        <v>520</v>
      </c>
      <c r="C6" s="84" t="s">
        <v>519</v>
      </c>
      <c r="E6" s="84">
        <v>3.0</v>
      </c>
      <c r="F6" s="84">
        <v>3.0</v>
      </c>
      <c r="G6" s="84">
        <v>3.0</v>
      </c>
    </row>
    <row r="7">
      <c r="A7" s="84">
        <v>74.0</v>
      </c>
      <c r="B7" s="84" t="s">
        <v>521</v>
      </c>
      <c r="C7" s="84" t="s">
        <v>519</v>
      </c>
      <c r="E7" s="84">
        <v>3.0</v>
      </c>
      <c r="F7" s="84">
        <v>3.0</v>
      </c>
      <c r="G7" s="84">
        <v>3.0</v>
      </c>
    </row>
    <row r="8">
      <c r="A8" s="84">
        <v>76.0</v>
      </c>
      <c r="B8" s="84" t="s">
        <v>522</v>
      </c>
      <c r="C8" s="84" t="s">
        <v>519</v>
      </c>
      <c r="D8" s="84">
        <v>103.0</v>
      </c>
      <c r="E8" s="84">
        <v>3.0</v>
      </c>
      <c r="F8" s="84">
        <v>3.0</v>
      </c>
      <c r="G8" s="84">
        <v>3.0</v>
      </c>
    </row>
    <row r="9">
      <c r="D9" s="84">
        <f t="shared" ref="D9:G9" si="1">SUM(D4:D8)</f>
        <v>321</v>
      </c>
      <c r="E9" s="84">
        <f t="shared" si="1"/>
        <v>16</v>
      </c>
      <c r="F9" s="84">
        <f t="shared" si="1"/>
        <v>15</v>
      </c>
      <c r="G9" s="84">
        <f t="shared" si="1"/>
        <v>15</v>
      </c>
    </row>
    <row r="10">
      <c r="D10" s="84">
        <v>39.0</v>
      </c>
      <c r="E10" s="84">
        <v>95.0</v>
      </c>
      <c r="F10" s="84">
        <v>95.0</v>
      </c>
      <c r="G10" s="84">
        <v>237.0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1.43"/>
    <col customWidth="1" min="3" max="3" width="36.0"/>
    <col customWidth="1" min="4" max="6" width="5.71"/>
    <col customWidth="1" hidden="1" min="7" max="11" width="5.71"/>
    <col customWidth="1" min="12" max="26" width="5.71"/>
    <col customWidth="1" hidden="1" min="27" max="27" width="8.0"/>
    <col customWidth="1" hidden="1" min="28" max="28" width="4.43"/>
    <col customWidth="1" hidden="1" min="29" max="29" width="6.43"/>
    <col customWidth="1" hidden="1" min="30" max="30" width="4.29"/>
    <col customWidth="1" hidden="1" min="31" max="31" width="7.57"/>
    <col customWidth="1" hidden="1" min="32" max="32" width="11.43"/>
    <col customWidth="1" hidden="1" min="33" max="33" width="9.43"/>
  </cols>
  <sheetData>
    <row r="1">
      <c r="C1" s="59" t="s">
        <v>0</v>
      </c>
    </row>
    <row r="2">
      <c r="B2" s="60" t="s">
        <v>87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4"/>
    </row>
    <row r="3">
      <c r="B3" s="11" t="s">
        <v>94</v>
      </c>
      <c r="C3" s="11" t="s">
        <v>4</v>
      </c>
      <c r="D3" s="62" t="s">
        <v>5</v>
      </c>
      <c r="E3" s="8"/>
      <c r="F3" s="9"/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62" t="s">
        <v>11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1" t="s">
        <v>15</v>
      </c>
      <c r="AB3" s="64" t="s">
        <v>14</v>
      </c>
      <c r="AC3" s="13"/>
      <c r="AD3" s="14"/>
      <c r="AE3" s="11" t="s">
        <v>16</v>
      </c>
      <c r="AF3" s="11" t="s">
        <v>17</v>
      </c>
      <c r="AG3" s="11" t="s">
        <v>18</v>
      </c>
    </row>
    <row r="4" ht="21.75" customHeight="1">
      <c r="B4" s="15"/>
      <c r="C4" s="15"/>
      <c r="D4" s="65" t="s">
        <v>21</v>
      </c>
      <c r="E4" s="65" t="s">
        <v>22</v>
      </c>
      <c r="F4" s="65" t="s">
        <v>23</v>
      </c>
      <c r="G4" s="15"/>
      <c r="H4" s="15"/>
      <c r="I4" s="15"/>
      <c r="J4" s="15"/>
      <c r="K4" s="15"/>
      <c r="L4" s="66">
        <v>1.0</v>
      </c>
      <c r="M4" s="66">
        <v>2.0</v>
      </c>
      <c r="N4" s="66">
        <v>3.0</v>
      </c>
      <c r="O4" s="66">
        <v>4.0</v>
      </c>
      <c r="P4" s="66">
        <v>5.0</v>
      </c>
      <c r="Q4" s="66">
        <v>6.0</v>
      </c>
      <c r="R4" s="66">
        <v>7.0</v>
      </c>
      <c r="S4" s="66">
        <v>8.0</v>
      </c>
      <c r="T4" s="66">
        <v>9.0</v>
      </c>
      <c r="U4" s="66">
        <v>10.0</v>
      </c>
      <c r="V4" s="66">
        <v>11.0</v>
      </c>
      <c r="W4" s="66">
        <v>12.0</v>
      </c>
      <c r="X4" s="66">
        <v>13.0</v>
      </c>
      <c r="Y4" s="66">
        <v>14.0</v>
      </c>
      <c r="Z4" s="66">
        <v>15.0</v>
      </c>
      <c r="AA4" s="15"/>
      <c r="AB4" s="18"/>
      <c r="AC4" s="19"/>
      <c r="AD4" s="20"/>
      <c r="AE4" s="15"/>
      <c r="AF4" s="15"/>
      <c r="AG4" s="15"/>
    </row>
    <row r="5" ht="21.75" customHeight="1">
      <c r="B5" s="67">
        <v>1.0</v>
      </c>
      <c r="C5" s="68" t="s">
        <v>95</v>
      </c>
      <c r="D5" s="67"/>
      <c r="E5" s="67"/>
      <c r="F5" s="67"/>
      <c r="G5" s="72"/>
      <c r="H5" s="72"/>
      <c r="I5" s="72"/>
      <c r="J5" s="72"/>
      <c r="K5" s="72"/>
      <c r="L5" s="85">
        <v>402.0</v>
      </c>
      <c r="M5" s="85">
        <v>388.0</v>
      </c>
      <c r="N5" s="85">
        <v>334.0</v>
      </c>
      <c r="O5" s="85">
        <v>325.0</v>
      </c>
      <c r="P5" s="85">
        <v>271.0</v>
      </c>
      <c r="Q5" s="85">
        <v>321.0</v>
      </c>
      <c r="R5" s="85">
        <v>316.0</v>
      </c>
      <c r="S5" s="85">
        <v>206.0</v>
      </c>
      <c r="T5" s="85">
        <v>264.0</v>
      </c>
      <c r="U5" s="85">
        <v>303.0</v>
      </c>
      <c r="V5" s="85">
        <v>213.0</v>
      </c>
      <c r="W5" s="85">
        <v>290.0</v>
      </c>
      <c r="X5" s="85">
        <v>371.0</v>
      </c>
      <c r="Y5" s="85">
        <v>363.0</v>
      </c>
      <c r="Z5" s="85">
        <v>260.0</v>
      </c>
      <c r="AA5" s="24">
        <f>AVERAGE(L5:Z6)</f>
        <v>323.7692308</v>
      </c>
      <c r="AB5" s="24">
        <f>MIN(L5:Z6)</f>
        <v>206</v>
      </c>
      <c r="AC5" s="24" t="str">
        <f>IF(AB5&gt;AD5,"&gt;","&lt;")</f>
        <v>&gt;</v>
      </c>
      <c r="AD5" s="24">
        <f>+AA5/2</f>
        <v>161.8846154</v>
      </c>
      <c r="AE5" s="118">
        <v>500.0</v>
      </c>
      <c r="AF5" s="71" t="str">
        <f>IF(AB5&gt;AD5,"SI","NO")</f>
        <v>SI</v>
      </c>
      <c r="AG5" s="71" t="str">
        <f>IF(AA5&gt;AE5,"SI","NO")</f>
        <v>NO</v>
      </c>
    </row>
    <row r="6" ht="21.75" customHeight="1">
      <c r="B6" s="15"/>
      <c r="C6" s="15"/>
      <c r="D6" s="15"/>
      <c r="E6" s="15"/>
      <c r="F6" s="15"/>
      <c r="G6" s="72"/>
      <c r="H6" s="72"/>
      <c r="I6" s="72"/>
      <c r="J6" s="72"/>
      <c r="K6" s="72"/>
      <c r="L6" s="85">
        <v>302.0</v>
      </c>
      <c r="M6" s="85">
        <v>288.0</v>
      </c>
      <c r="N6" s="85">
        <v>224.0</v>
      </c>
      <c r="O6" s="85">
        <v>400.0</v>
      </c>
      <c r="P6" s="85">
        <v>412.0</v>
      </c>
      <c r="Q6" s="85">
        <v>308.0</v>
      </c>
      <c r="R6" s="85">
        <v>314.0</v>
      </c>
      <c r="S6" s="85">
        <v>421.0</v>
      </c>
      <c r="T6" s="85">
        <v>400.0</v>
      </c>
      <c r="U6" s="85">
        <v>319.0</v>
      </c>
      <c r="V6" s="85">
        <v>403.0</v>
      </c>
      <c r="W6" s="86"/>
      <c r="X6" s="86"/>
      <c r="Y6" s="86"/>
      <c r="Z6" s="86"/>
      <c r="AA6" s="15"/>
      <c r="AB6" s="15"/>
      <c r="AC6" s="15"/>
      <c r="AD6" s="15"/>
      <c r="AE6" s="15"/>
      <c r="AF6" s="15"/>
      <c r="AG6" s="15"/>
    </row>
    <row r="7" ht="21.75" customHeight="1">
      <c r="B7" s="73">
        <v>2.0</v>
      </c>
      <c r="C7" s="74" t="s">
        <v>25</v>
      </c>
      <c r="D7" s="72"/>
      <c r="E7" s="72"/>
      <c r="F7" s="72"/>
      <c r="G7" s="72"/>
      <c r="H7" s="72"/>
      <c r="I7" s="72"/>
      <c r="J7" s="72"/>
      <c r="K7" s="72"/>
      <c r="L7" s="85">
        <v>515.0</v>
      </c>
      <c r="M7" s="85">
        <v>485.0</v>
      </c>
      <c r="N7" s="85">
        <v>425.0</v>
      </c>
      <c r="O7" s="85">
        <v>504.0</v>
      </c>
      <c r="P7" s="85">
        <v>482.0</v>
      </c>
      <c r="Q7" s="85">
        <v>628.0</v>
      </c>
      <c r="R7" s="85">
        <v>630.0</v>
      </c>
      <c r="S7" s="86"/>
      <c r="T7" s="86"/>
      <c r="U7" s="86"/>
      <c r="V7" s="86"/>
      <c r="W7" s="86"/>
      <c r="X7" s="86"/>
      <c r="Y7" s="86"/>
      <c r="Z7" s="86"/>
      <c r="AA7" s="35">
        <f t="shared" ref="AA7:AA56" si="1">AVERAGE(L7:Z7)</f>
        <v>524.1428571</v>
      </c>
      <c r="AB7" s="35">
        <f t="shared" ref="AB7:AB56" si="2">MIN(L7:Z7)</f>
        <v>425</v>
      </c>
      <c r="AC7" s="35" t="str">
        <f t="shared" ref="AC7:AC56" si="3">IF(AB7&gt;AD7,"&gt;","&lt;")</f>
        <v>&gt;</v>
      </c>
      <c r="AD7" s="35">
        <f t="shared" ref="AD7:AD56" si="4">+AA7/2</f>
        <v>262.0714286</v>
      </c>
      <c r="AE7" s="75">
        <v>500.0</v>
      </c>
      <c r="AF7" s="76" t="str">
        <f t="shared" ref="AF7:AF56" si="5">IF(AB7&gt;AD7,"SI","NO")</f>
        <v>SI</v>
      </c>
      <c r="AG7" s="76" t="str">
        <f t="shared" ref="AG7:AG56" si="6">IF(AA7&gt;AE7,"SI","NO")</f>
        <v>SI</v>
      </c>
    </row>
    <row r="8" ht="21.75" customHeight="1">
      <c r="B8" s="72">
        <v>3.0</v>
      </c>
      <c r="C8" s="77" t="s">
        <v>26</v>
      </c>
      <c r="D8" s="72"/>
      <c r="E8" s="72"/>
      <c r="F8" s="72"/>
      <c r="G8" s="72"/>
      <c r="H8" s="72"/>
      <c r="I8" s="72"/>
      <c r="J8" s="72"/>
      <c r="K8" s="72"/>
      <c r="L8" s="85">
        <v>617.0</v>
      </c>
      <c r="M8" s="85">
        <v>557.0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35">
        <f t="shared" si="1"/>
        <v>587</v>
      </c>
      <c r="AB8" s="35">
        <f t="shared" si="2"/>
        <v>557</v>
      </c>
      <c r="AC8" s="35" t="str">
        <f t="shared" si="3"/>
        <v>&gt;</v>
      </c>
      <c r="AD8" s="35">
        <f t="shared" si="4"/>
        <v>293.5</v>
      </c>
      <c r="AE8" s="78">
        <v>500.0</v>
      </c>
      <c r="AF8" s="76" t="str">
        <f t="shared" si="5"/>
        <v>SI</v>
      </c>
      <c r="AG8" s="76" t="str">
        <f t="shared" si="6"/>
        <v>SI</v>
      </c>
    </row>
    <row r="9" ht="21.75" customHeight="1">
      <c r="B9" s="72">
        <v>4.0</v>
      </c>
      <c r="C9" s="77" t="s">
        <v>107</v>
      </c>
      <c r="D9" s="72"/>
      <c r="E9" s="72"/>
      <c r="F9" s="72"/>
      <c r="G9" s="72"/>
      <c r="H9" s="72"/>
      <c r="I9" s="72"/>
      <c r="J9" s="72"/>
      <c r="K9" s="72"/>
      <c r="L9" s="85">
        <v>157.0</v>
      </c>
      <c r="M9" s="85">
        <v>141.0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35">
        <f t="shared" si="1"/>
        <v>149</v>
      </c>
      <c r="AB9" s="35">
        <f t="shared" si="2"/>
        <v>141</v>
      </c>
      <c r="AC9" s="35" t="str">
        <f t="shared" si="3"/>
        <v>&gt;</v>
      </c>
      <c r="AD9" s="35">
        <f t="shared" si="4"/>
        <v>74.5</v>
      </c>
      <c r="AE9" s="78">
        <v>300.0</v>
      </c>
      <c r="AF9" s="76" t="str">
        <f t="shared" si="5"/>
        <v>SI</v>
      </c>
      <c r="AG9" s="76" t="str">
        <f t="shared" si="6"/>
        <v>NO</v>
      </c>
    </row>
    <row r="10" ht="21.75" customHeight="1">
      <c r="B10" s="73">
        <v>5.0</v>
      </c>
      <c r="C10" s="77" t="s">
        <v>96</v>
      </c>
      <c r="D10" s="72"/>
      <c r="E10" s="72"/>
      <c r="F10" s="72"/>
      <c r="G10" s="72"/>
      <c r="H10" s="72"/>
      <c r="I10" s="72"/>
      <c r="J10" s="72"/>
      <c r="K10" s="72"/>
      <c r="L10" s="85">
        <v>72.0</v>
      </c>
      <c r="M10" s="85">
        <v>90.0</v>
      </c>
      <c r="N10" s="85">
        <v>96.0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35">
        <f t="shared" si="1"/>
        <v>86</v>
      </c>
      <c r="AB10" s="35">
        <f t="shared" si="2"/>
        <v>72</v>
      </c>
      <c r="AC10" s="35" t="str">
        <f t="shared" si="3"/>
        <v>&gt;</v>
      </c>
      <c r="AD10" s="35">
        <f t="shared" si="4"/>
        <v>43</v>
      </c>
      <c r="AE10" s="78">
        <v>500.0</v>
      </c>
      <c r="AF10" s="76" t="str">
        <f t="shared" si="5"/>
        <v>SI</v>
      </c>
      <c r="AG10" s="76" t="str">
        <f t="shared" si="6"/>
        <v>NO</v>
      </c>
    </row>
    <row r="11" ht="21.75" customHeight="1">
      <c r="B11" s="72">
        <v>6.0</v>
      </c>
      <c r="C11" s="77" t="s">
        <v>30</v>
      </c>
      <c r="D11" s="72"/>
      <c r="E11" s="72"/>
      <c r="F11" s="72"/>
      <c r="G11" s="72"/>
      <c r="H11" s="72"/>
      <c r="I11" s="72"/>
      <c r="J11" s="72"/>
      <c r="K11" s="72"/>
      <c r="L11" s="85">
        <v>193.0</v>
      </c>
      <c r="M11" s="85">
        <v>213.0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35">
        <f t="shared" si="1"/>
        <v>203</v>
      </c>
      <c r="AB11" s="35">
        <f t="shared" si="2"/>
        <v>193</v>
      </c>
      <c r="AC11" s="35" t="str">
        <f t="shared" si="3"/>
        <v>&gt;</v>
      </c>
      <c r="AD11" s="35">
        <f t="shared" si="4"/>
        <v>101.5</v>
      </c>
      <c r="AE11" s="78">
        <v>500.0</v>
      </c>
      <c r="AF11" s="76" t="str">
        <f t="shared" si="5"/>
        <v>SI</v>
      </c>
      <c r="AG11" s="76" t="str">
        <f t="shared" si="6"/>
        <v>NO</v>
      </c>
    </row>
    <row r="12" ht="21.75" customHeight="1">
      <c r="B12" s="72">
        <v>7.0</v>
      </c>
      <c r="C12" s="77" t="s">
        <v>31</v>
      </c>
      <c r="D12" s="72"/>
      <c r="E12" s="72"/>
      <c r="F12" s="72"/>
      <c r="G12" s="72"/>
      <c r="H12" s="72"/>
      <c r="I12" s="72"/>
      <c r="J12" s="72"/>
      <c r="K12" s="72"/>
      <c r="L12" s="85">
        <v>143.0</v>
      </c>
      <c r="M12" s="85">
        <v>147.0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35">
        <f t="shared" si="1"/>
        <v>145</v>
      </c>
      <c r="AB12" s="35">
        <f t="shared" si="2"/>
        <v>143</v>
      </c>
      <c r="AC12" s="35" t="str">
        <f t="shared" si="3"/>
        <v>&gt;</v>
      </c>
      <c r="AD12" s="35">
        <f t="shared" si="4"/>
        <v>72.5</v>
      </c>
      <c r="AE12" s="78">
        <v>100.0</v>
      </c>
      <c r="AF12" s="76" t="str">
        <f t="shared" si="5"/>
        <v>SI</v>
      </c>
      <c r="AG12" s="76" t="str">
        <f t="shared" si="6"/>
        <v>SI</v>
      </c>
    </row>
    <row r="13" ht="21.75" customHeight="1">
      <c r="B13" s="73">
        <v>8.0</v>
      </c>
      <c r="C13" s="77" t="s">
        <v>32</v>
      </c>
      <c r="D13" s="72"/>
      <c r="E13" s="72"/>
      <c r="F13" s="72"/>
      <c r="G13" s="72"/>
      <c r="H13" s="72"/>
      <c r="I13" s="72"/>
      <c r="J13" s="72"/>
      <c r="K13" s="72"/>
      <c r="L13" s="85">
        <v>182.0</v>
      </c>
      <c r="M13" s="85">
        <v>137.0</v>
      </c>
      <c r="N13" s="85">
        <v>198.0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35">
        <f t="shared" si="1"/>
        <v>172.3333333</v>
      </c>
      <c r="AB13" s="35">
        <f t="shared" si="2"/>
        <v>137</v>
      </c>
      <c r="AC13" s="35" t="str">
        <f t="shared" si="3"/>
        <v>&gt;</v>
      </c>
      <c r="AD13" s="35">
        <f t="shared" si="4"/>
        <v>86.16666667</v>
      </c>
      <c r="AE13" s="78">
        <v>200.0</v>
      </c>
      <c r="AF13" s="76" t="str">
        <f t="shared" si="5"/>
        <v>SI</v>
      </c>
      <c r="AG13" s="76" t="str">
        <f t="shared" si="6"/>
        <v>NO</v>
      </c>
    </row>
    <row r="14" ht="21.75" customHeight="1">
      <c r="B14" s="72">
        <v>9.0</v>
      </c>
      <c r="C14" s="77" t="s">
        <v>33</v>
      </c>
      <c r="D14" s="72"/>
      <c r="E14" s="72"/>
      <c r="F14" s="72"/>
      <c r="G14" s="72"/>
      <c r="H14" s="72"/>
      <c r="I14" s="72"/>
      <c r="J14" s="72"/>
      <c r="K14" s="72"/>
      <c r="L14" s="85">
        <v>533.0</v>
      </c>
      <c r="M14" s="85">
        <v>442.0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35">
        <f t="shared" si="1"/>
        <v>487.5</v>
      </c>
      <c r="AB14" s="35">
        <f t="shared" si="2"/>
        <v>442</v>
      </c>
      <c r="AC14" s="35" t="str">
        <f t="shared" si="3"/>
        <v>&gt;</v>
      </c>
      <c r="AD14" s="35">
        <f t="shared" si="4"/>
        <v>243.75</v>
      </c>
      <c r="AE14" s="78">
        <v>300.0</v>
      </c>
      <c r="AF14" s="76" t="str">
        <f t="shared" si="5"/>
        <v>SI</v>
      </c>
      <c r="AG14" s="76" t="str">
        <f t="shared" si="6"/>
        <v>SI</v>
      </c>
    </row>
    <row r="15" ht="21.75" customHeight="1">
      <c r="B15" s="72">
        <v>10.0</v>
      </c>
      <c r="C15" s="77" t="s">
        <v>34</v>
      </c>
      <c r="D15" s="72"/>
      <c r="E15" s="72"/>
      <c r="F15" s="72"/>
      <c r="G15" s="72"/>
      <c r="H15" s="72"/>
      <c r="I15" s="72"/>
      <c r="J15" s="72"/>
      <c r="K15" s="72"/>
      <c r="L15" s="85">
        <v>362.0</v>
      </c>
      <c r="M15" s="85">
        <v>219.0</v>
      </c>
      <c r="N15" s="85">
        <v>227.0</v>
      </c>
      <c r="O15" s="85">
        <v>228.0</v>
      </c>
      <c r="P15" s="85">
        <v>236.0</v>
      </c>
      <c r="Q15" s="85">
        <v>345.0</v>
      </c>
      <c r="R15" s="86"/>
      <c r="S15" s="86"/>
      <c r="T15" s="86"/>
      <c r="U15" s="86"/>
      <c r="V15" s="86"/>
      <c r="W15" s="86"/>
      <c r="X15" s="86"/>
      <c r="Y15" s="86"/>
      <c r="Z15" s="86"/>
      <c r="AA15" s="35">
        <f t="shared" si="1"/>
        <v>269.5</v>
      </c>
      <c r="AB15" s="35">
        <f t="shared" si="2"/>
        <v>219</v>
      </c>
      <c r="AC15" s="35" t="str">
        <f t="shared" si="3"/>
        <v>&gt;</v>
      </c>
      <c r="AD15" s="35">
        <f t="shared" si="4"/>
        <v>134.75</v>
      </c>
      <c r="AE15" s="78">
        <v>100.0</v>
      </c>
      <c r="AF15" s="76" t="str">
        <f t="shared" si="5"/>
        <v>SI</v>
      </c>
      <c r="AG15" s="76" t="str">
        <f t="shared" si="6"/>
        <v>SI</v>
      </c>
    </row>
    <row r="16" ht="21.75" customHeight="1">
      <c r="B16" s="73">
        <v>11.0</v>
      </c>
      <c r="C16" s="77" t="s">
        <v>35</v>
      </c>
      <c r="D16" s="72"/>
      <c r="E16" s="72"/>
      <c r="F16" s="72"/>
      <c r="G16" s="72"/>
      <c r="H16" s="72"/>
      <c r="I16" s="72"/>
      <c r="J16" s="72"/>
      <c r="K16" s="72"/>
      <c r="L16" s="85">
        <v>15.0</v>
      </c>
      <c r="M16" s="85">
        <v>21.0</v>
      </c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35">
        <f t="shared" si="1"/>
        <v>18</v>
      </c>
      <c r="AB16" s="35">
        <f t="shared" si="2"/>
        <v>15</v>
      </c>
      <c r="AC16" s="35" t="str">
        <f t="shared" si="3"/>
        <v>&gt;</v>
      </c>
      <c r="AD16" s="35">
        <f t="shared" si="4"/>
        <v>9</v>
      </c>
      <c r="AE16" s="78">
        <v>50.0</v>
      </c>
      <c r="AF16" s="76" t="str">
        <f t="shared" si="5"/>
        <v>SI</v>
      </c>
      <c r="AG16" s="76" t="str">
        <f t="shared" si="6"/>
        <v>NO</v>
      </c>
    </row>
    <row r="17" ht="21.75" customHeight="1">
      <c r="B17" s="72">
        <v>12.0</v>
      </c>
      <c r="C17" s="77" t="s">
        <v>36</v>
      </c>
      <c r="D17" s="72"/>
      <c r="E17" s="72"/>
      <c r="F17" s="72"/>
      <c r="G17" s="72"/>
      <c r="H17" s="72"/>
      <c r="I17" s="72"/>
      <c r="J17" s="72"/>
      <c r="K17" s="72"/>
      <c r="L17" s="85">
        <v>236.0</v>
      </c>
      <c r="M17" s="85">
        <v>223.0</v>
      </c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35">
        <f t="shared" si="1"/>
        <v>229.5</v>
      </c>
      <c r="AB17" s="35">
        <f t="shared" si="2"/>
        <v>223</v>
      </c>
      <c r="AC17" s="35" t="str">
        <f t="shared" si="3"/>
        <v>&gt;</v>
      </c>
      <c r="AD17" s="35">
        <f t="shared" si="4"/>
        <v>114.75</v>
      </c>
      <c r="AE17" s="78">
        <v>50.0</v>
      </c>
      <c r="AF17" s="76" t="str">
        <f t="shared" si="5"/>
        <v>SI</v>
      </c>
      <c r="AG17" s="76" t="str">
        <f t="shared" si="6"/>
        <v>SI</v>
      </c>
    </row>
    <row r="18" ht="21.75" customHeight="1">
      <c r="B18" s="72">
        <v>13.0</v>
      </c>
      <c r="C18" s="77" t="s">
        <v>37</v>
      </c>
      <c r="D18" s="72"/>
      <c r="E18" s="72"/>
      <c r="F18" s="72"/>
      <c r="G18" s="72"/>
      <c r="H18" s="72"/>
      <c r="I18" s="72"/>
      <c r="J18" s="72"/>
      <c r="K18" s="72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35" t="str">
        <f t="shared" si="1"/>
        <v>#DIV/0!</v>
      </c>
      <c r="AB18" s="35">
        <f t="shared" si="2"/>
        <v>0</v>
      </c>
      <c r="AC18" s="35" t="str">
        <f t="shared" si="3"/>
        <v>#DIV/0!</v>
      </c>
      <c r="AD18" s="35" t="str">
        <f t="shared" si="4"/>
        <v>#DIV/0!</v>
      </c>
      <c r="AE18" s="78">
        <v>300.0</v>
      </c>
      <c r="AF18" s="76" t="str">
        <f t="shared" si="5"/>
        <v>#DIV/0!</v>
      </c>
      <c r="AG18" s="76" t="str">
        <f t="shared" si="6"/>
        <v>#DIV/0!</v>
      </c>
    </row>
    <row r="19" ht="21.75" customHeight="1">
      <c r="B19" s="73">
        <v>14.0</v>
      </c>
      <c r="C19" s="77" t="s">
        <v>38</v>
      </c>
      <c r="D19" s="72"/>
      <c r="E19" s="72"/>
      <c r="F19" s="72"/>
      <c r="G19" s="72"/>
      <c r="H19" s="72"/>
      <c r="I19" s="72"/>
      <c r="J19" s="72"/>
      <c r="K19" s="72"/>
      <c r="L19" s="85">
        <v>484.0</v>
      </c>
      <c r="M19" s="85">
        <v>404.0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35">
        <f t="shared" si="1"/>
        <v>444</v>
      </c>
      <c r="AB19" s="35">
        <f t="shared" si="2"/>
        <v>404</v>
      </c>
      <c r="AC19" s="35" t="str">
        <f t="shared" si="3"/>
        <v>&gt;</v>
      </c>
      <c r="AD19" s="35">
        <f t="shared" si="4"/>
        <v>222</v>
      </c>
      <c r="AE19" s="78">
        <v>300.0</v>
      </c>
      <c r="AF19" s="76" t="str">
        <f t="shared" si="5"/>
        <v>SI</v>
      </c>
      <c r="AG19" s="76" t="str">
        <f t="shared" si="6"/>
        <v>SI</v>
      </c>
    </row>
    <row r="20" ht="21.75" customHeight="1">
      <c r="B20" s="72">
        <v>15.0</v>
      </c>
      <c r="C20" s="77" t="s">
        <v>39</v>
      </c>
      <c r="D20" s="72"/>
      <c r="E20" s="72"/>
      <c r="F20" s="72"/>
      <c r="G20" s="72"/>
      <c r="H20" s="72"/>
      <c r="I20" s="72"/>
      <c r="J20" s="72"/>
      <c r="K20" s="72"/>
      <c r="L20" s="85">
        <v>431.0</v>
      </c>
      <c r="M20" s="85">
        <v>579.0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35">
        <f t="shared" si="1"/>
        <v>505</v>
      </c>
      <c r="AB20" s="35">
        <f t="shared" si="2"/>
        <v>431</v>
      </c>
      <c r="AC20" s="35" t="str">
        <f t="shared" si="3"/>
        <v>&gt;</v>
      </c>
      <c r="AD20" s="35">
        <f t="shared" si="4"/>
        <v>252.5</v>
      </c>
      <c r="AE20" s="78">
        <v>300.0</v>
      </c>
      <c r="AF20" s="76" t="str">
        <f t="shared" si="5"/>
        <v>SI</v>
      </c>
      <c r="AG20" s="76" t="str">
        <f t="shared" si="6"/>
        <v>SI</v>
      </c>
    </row>
    <row r="21" ht="21.75" customHeight="1">
      <c r="B21" s="72">
        <v>16.0</v>
      </c>
      <c r="C21" s="77" t="s">
        <v>40</v>
      </c>
      <c r="D21" s="72"/>
      <c r="E21" s="72"/>
      <c r="F21" s="72"/>
      <c r="G21" s="72"/>
      <c r="H21" s="72"/>
      <c r="I21" s="72"/>
      <c r="J21" s="72"/>
      <c r="K21" s="72"/>
      <c r="L21" s="85">
        <v>256.0</v>
      </c>
      <c r="M21" s="85">
        <v>265.0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35">
        <f t="shared" si="1"/>
        <v>260.5</v>
      </c>
      <c r="AB21" s="35">
        <f t="shared" si="2"/>
        <v>256</v>
      </c>
      <c r="AC21" s="35" t="str">
        <f t="shared" si="3"/>
        <v>&gt;</v>
      </c>
      <c r="AD21" s="35">
        <f t="shared" si="4"/>
        <v>130.25</v>
      </c>
      <c r="AE21" s="78">
        <v>50.0</v>
      </c>
      <c r="AF21" s="76" t="str">
        <f t="shared" si="5"/>
        <v>SI</v>
      </c>
      <c r="AG21" s="76" t="str">
        <f t="shared" si="6"/>
        <v>SI</v>
      </c>
    </row>
    <row r="22" ht="21.75" customHeight="1">
      <c r="B22" s="73">
        <v>17.0</v>
      </c>
      <c r="C22" s="77" t="s">
        <v>90</v>
      </c>
      <c r="D22" s="72"/>
      <c r="E22" s="72"/>
      <c r="F22" s="72"/>
      <c r="G22" s="72"/>
      <c r="H22" s="72"/>
      <c r="I22" s="72"/>
      <c r="J22" s="72"/>
      <c r="K22" s="72"/>
      <c r="L22" s="85">
        <v>183.0</v>
      </c>
      <c r="M22" s="85">
        <v>330.0</v>
      </c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35">
        <f t="shared" si="1"/>
        <v>256.5</v>
      </c>
      <c r="AB22" s="35">
        <f t="shared" si="2"/>
        <v>183</v>
      </c>
      <c r="AC22" s="35" t="str">
        <f t="shared" si="3"/>
        <v>&gt;</v>
      </c>
      <c r="AD22" s="35">
        <f t="shared" si="4"/>
        <v>128.25</v>
      </c>
      <c r="AE22" s="78">
        <v>50.0</v>
      </c>
      <c r="AF22" s="76" t="str">
        <f t="shared" si="5"/>
        <v>SI</v>
      </c>
      <c r="AG22" s="76" t="str">
        <f t="shared" si="6"/>
        <v>SI</v>
      </c>
    </row>
    <row r="23" ht="21.75" customHeight="1">
      <c r="B23" s="72">
        <v>18.0</v>
      </c>
      <c r="C23" s="77" t="s">
        <v>42</v>
      </c>
      <c r="D23" s="72"/>
      <c r="E23" s="72"/>
      <c r="F23" s="72"/>
      <c r="G23" s="72"/>
      <c r="H23" s="72"/>
      <c r="I23" s="72"/>
      <c r="J23" s="72"/>
      <c r="K23" s="72"/>
      <c r="L23" s="85">
        <v>173.0</v>
      </c>
      <c r="M23" s="85">
        <v>167.0</v>
      </c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35">
        <f t="shared" si="1"/>
        <v>170</v>
      </c>
      <c r="AB23" s="35">
        <f t="shared" si="2"/>
        <v>167</v>
      </c>
      <c r="AC23" s="35" t="str">
        <f t="shared" si="3"/>
        <v>&gt;</v>
      </c>
      <c r="AD23" s="35">
        <f t="shared" si="4"/>
        <v>85</v>
      </c>
      <c r="AE23" s="78">
        <v>50.0</v>
      </c>
      <c r="AF23" s="76" t="str">
        <f t="shared" si="5"/>
        <v>SI</v>
      </c>
      <c r="AG23" s="76" t="str">
        <f t="shared" si="6"/>
        <v>SI</v>
      </c>
    </row>
    <row r="24" ht="21.75" customHeight="1">
      <c r="B24" s="72">
        <v>19.0</v>
      </c>
      <c r="C24" s="77" t="s">
        <v>43</v>
      </c>
      <c r="D24" s="72"/>
      <c r="E24" s="72"/>
      <c r="F24" s="72"/>
      <c r="G24" s="72"/>
      <c r="H24" s="72"/>
      <c r="I24" s="72"/>
      <c r="J24" s="72"/>
      <c r="K24" s="72"/>
      <c r="L24" s="85">
        <v>29.0</v>
      </c>
      <c r="M24" s="85">
        <v>27.0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35">
        <f t="shared" si="1"/>
        <v>28</v>
      </c>
      <c r="AB24" s="35">
        <f t="shared" si="2"/>
        <v>27</v>
      </c>
      <c r="AC24" s="35" t="str">
        <f t="shared" si="3"/>
        <v>&gt;</v>
      </c>
      <c r="AD24" s="35">
        <f t="shared" si="4"/>
        <v>14</v>
      </c>
      <c r="AE24" s="78">
        <v>50.0</v>
      </c>
      <c r="AF24" s="76" t="str">
        <f t="shared" si="5"/>
        <v>SI</v>
      </c>
      <c r="AG24" s="76" t="str">
        <f t="shared" si="6"/>
        <v>NO</v>
      </c>
    </row>
    <row r="25" ht="21.75" customHeight="1">
      <c r="B25" s="72">
        <v>20.0</v>
      </c>
      <c r="C25" s="77" t="s">
        <v>44</v>
      </c>
      <c r="D25" s="72"/>
      <c r="E25" s="72"/>
      <c r="F25" s="72"/>
      <c r="G25" s="72"/>
      <c r="H25" s="72"/>
      <c r="I25" s="72"/>
      <c r="J25" s="72"/>
      <c r="K25" s="72"/>
      <c r="L25" s="85">
        <v>374.0</v>
      </c>
      <c r="M25" s="85">
        <v>330.0</v>
      </c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35">
        <f t="shared" si="1"/>
        <v>352</v>
      </c>
      <c r="AB25" s="35">
        <f t="shared" si="2"/>
        <v>330</v>
      </c>
      <c r="AC25" s="35" t="str">
        <f t="shared" si="3"/>
        <v>&gt;</v>
      </c>
      <c r="AD25" s="35">
        <f t="shared" si="4"/>
        <v>176</v>
      </c>
      <c r="AE25" s="78">
        <v>50.0</v>
      </c>
      <c r="AF25" s="76" t="str">
        <f t="shared" si="5"/>
        <v>SI</v>
      </c>
      <c r="AG25" s="76" t="str">
        <f t="shared" si="6"/>
        <v>SI</v>
      </c>
    </row>
    <row r="26" ht="21.75" customHeight="1">
      <c r="B26" s="73">
        <v>21.0</v>
      </c>
      <c r="C26" s="77" t="s">
        <v>45</v>
      </c>
      <c r="D26" s="72"/>
      <c r="E26" s="72"/>
      <c r="F26" s="72"/>
      <c r="G26" s="72"/>
      <c r="H26" s="72"/>
      <c r="I26" s="72"/>
      <c r="J26" s="72"/>
      <c r="K26" s="72"/>
      <c r="L26" s="85">
        <v>277.0</v>
      </c>
      <c r="M26" s="85">
        <v>424.0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35">
        <f t="shared" si="1"/>
        <v>350.5</v>
      </c>
      <c r="AB26" s="35">
        <f t="shared" si="2"/>
        <v>277</v>
      </c>
      <c r="AC26" s="35" t="str">
        <f t="shared" si="3"/>
        <v>&gt;</v>
      </c>
      <c r="AD26" s="35">
        <f t="shared" si="4"/>
        <v>175.25</v>
      </c>
      <c r="AE26" s="78">
        <v>50.0</v>
      </c>
      <c r="AF26" s="76" t="str">
        <f t="shared" si="5"/>
        <v>SI</v>
      </c>
      <c r="AG26" s="76" t="str">
        <f t="shared" si="6"/>
        <v>SI</v>
      </c>
    </row>
    <row r="27" ht="21.75" customHeight="1">
      <c r="B27" s="72">
        <v>22.0</v>
      </c>
      <c r="C27" s="77" t="s">
        <v>46</v>
      </c>
      <c r="D27" s="72"/>
      <c r="E27" s="72"/>
      <c r="F27" s="72"/>
      <c r="G27" s="72"/>
      <c r="H27" s="72"/>
      <c r="I27" s="72"/>
      <c r="J27" s="72"/>
      <c r="K27" s="72"/>
      <c r="L27" s="85">
        <v>405.0</v>
      </c>
      <c r="M27" s="85">
        <v>399.0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35">
        <f t="shared" si="1"/>
        <v>402</v>
      </c>
      <c r="AB27" s="35">
        <f t="shared" si="2"/>
        <v>399</v>
      </c>
      <c r="AC27" s="35" t="str">
        <f t="shared" si="3"/>
        <v>&gt;</v>
      </c>
      <c r="AD27" s="35">
        <f t="shared" si="4"/>
        <v>201</v>
      </c>
      <c r="AE27" s="78">
        <v>300.0</v>
      </c>
      <c r="AF27" s="76" t="str">
        <f t="shared" si="5"/>
        <v>SI</v>
      </c>
      <c r="AG27" s="76" t="str">
        <f t="shared" si="6"/>
        <v>SI</v>
      </c>
    </row>
    <row r="28" ht="21.75" customHeight="1">
      <c r="B28" s="72">
        <v>23.0</v>
      </c>
      <c r="C28" s="77" t="s">
        <v>97</v>
      </c>
      <c r="D28" s="72"/>
      <c r="E28" s="72"/>
      <c r="F28" s="72"/>
      <c r="G28" s="72"/>
      <c r="H28" s="72"/>
      <c r="I28" s="72"/>
      <c r="J28" s="72"/>
      <c r="K28" s="72"/>
      <c r="L28" s="85">
        <v>164.0</v>
      </c>
      <c r="M28" s="85">
        <v>344.0</v>
      </c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35">
        <f t="shared" si="1"/>
        <v>254</v>
      </c>
      <c r="AB28" s="35">
        <f t="shared" si="2"/>
        <v>164</v>
      </c>
      <c r="AC28" s="35" t="str">
        <f t="shared" si="3"/>
        <v>&gt;</v>
      </c>
      <c r="AD28" s="35">
        <f t="shared" si="4"/>
        <v>127</v>
      </c>
      <c r="AE28" s="78">
        <v>300.0</v>
      </c>
      <c r="AF28" s="76" t="str">
        <f t="shared" si="5"/>
        <v>SI</v>
      </c>
      <c r="AG28" s="76" t="str">
        <f t="shared" si="6"/>
        <v>NO</v>
      </c>
    </row>
    <row r="29" ht="21.75" customHeight="1">
      <c r="B29" s="73">
        <v>24.0</v>
      </c>
      <c r="C29" s="77" t="s">
        <v>47</v>
      </c>
      <c r="D29" s="72"/>
      <c r="E29" s="72"/>
      <c r="F29" s="72"/>
      <c r="G29" s="72"/>
      <c r="H29" s="72"/>
      <c r="I29" s="72"/>
      <c r="J29" s="72"/>
      <c r="K29" s="72"/>
      <c r="L29" s="85">
        <v>159.0</v>
      </c>
      <c r="M29" s="85">
        <v>163.0</v>
      </c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35">
        <f t="shared" si="1"/>
        <v>161</v>
      </c>
      <c r="AB29" s="35">
        <f t="shared" si="2"/>
        <v>159</v>
      </c>
      <c r="AC29" s="35" t="str">
        <f t="shared" si="3"/>
        <v>&gt;</v>
      </c>
      <c r="AD29" s="35">
        <f t="shared" si="4"/>
        <v>80.5</v>
      </c>
      <c r="AE29" s="78">
        <v>300.0</v>
      </c>
      <c r="AF29" s="76" t="str">
        <f t="shared" si="5"/>
        <v>SI</v>
      </c>
      <c r="AG29" s="76" t="str">
        <f t="shared" si="6"/>
        <v>NO</v>
      </c>
    </row>
    <row r="30" ht="21.75" customHeight="1">
      <c r="B30" s="72">
        <v>25.0</v>
      </c>
      <c r="C30" s="77" t="s">
        <v>48</v>
      </c>
      <c r="D30" s="72"/>
      <c r="E30" s="72"/>
      <c r="F30" s="72"/>
      <c r="G30" s="72"/>
      <c r="H30" s="72"/>
      <c r="I30" s="72"/>
      <c r="J30" s="72"/>
      <c r="K30" s="72"/>
      <c r="L30" s="85">
        <v>88.0</v>
      </c>
      <c r="M30" s="85">
        <v>165.0</v>
      </c>
      <c r="N30" s="85">
        <v>187.0</v>
      </c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35">
        <f t="shared" si="1"/>
        <v>146.6666667</v>
      </c>
      <c r="AB30" s="35">
        <f t="shared" si="2"/>
        <v>88</v>
      </c>
      <c r="AC30" s="35" t="str">
        <f t="shared" si="3"/>
        <v>&gt;</v>
      </c>
      <c r="AD30" s="35">
        <f t="shared" si="4"/>
        <v>73.33333333</v>
      </c>
      <c r="AE30" s="78">
        <v>100.0</v>
      </c>
      <c r="AF30" s="76" t="str">
        <f t="shared" si="5"/>
        <v>SI</v>
      </c>
      <c r="AG30" s="76" t="str">
        <f t="shared" si="6"/>
        <v>SI</v>
      </c>
    </row>
    <row r="31" ht="21.75" customHeight="1">
      <c r="B31" s="72">
        <v>26.0</v>
      </c>
      <c r="C31" s="77" t="s">
        <v>49</v>
      </c>
      <c r="D31" s="72"/>
      <c r="E31" s="72"/>
      <c r="F31" s="72"/>
      <c r="G31" s="72"/>
      <c r="H31" s="72"/>
      <c r="I31" s="72"/>
      <c r="J31" s="72"/>
      <c r="K31" s="72"/>
      <c r="L31" s="85">
        <v>184.0</v>
      </c>
      <c r="M31" s="85">
        <v>143.0</v>
      </c>
      <c r="N31" s="85">
        <v>82.0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35">
        <f t="shared" si="1"/>
        <v>136.3333333</v>
      </c>
      <c r="AB31" s="35">
        <f t="shared" si="2"/>
        <v>82</v>
      </c>
      <c r="AC31" s="35" t="str">
        <f t="shared" si="3"/>
        <v>&gt;</v>
      </c>
      <c r="AD31" s="35">
        <f t="shared" si="4"/>
        <v>68.16666667</v>
      </c>
      <c r="AE31" s="78">
        <v>100.0</v>
      </c>
      <c r="AF31" s="76" t="str">
        <f t="shared" si="5"/>
        <v>SI</v>
      </c>
      <c r="AG31" s="76" t="str">
        <f t="shared" si="6"/>
        <v>SI</v>
      </c>
    </row>
    <row r="32" ht="21.75" customHeight="1">
      <c r="B32" s="73">
        <v>27.0</v>
      </c>
      <c r="C32" s="81" t="s">
        <v>50</v>
      </c>
      <c r="D32" s="72"/>
      <c r="E32" s="72"/>
      <c r="F32" s="72"/>
      <c r="G32" s="72"/>
      <c r="H32" s="72"/>
      <c r="I32" s="72"/>
      <c r="J32" s="72"/>
      <c r="K32" s="72"/>
      <c r="L32" s="85">
        <v>123.0</v>
      </c>
      <c r="M32" s="85">
        <v>160.0</v>
      </c>
      <c r="N32" s="85">
        <v>172.0</v>
      </c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24">
        <f t="shared" si="1"/>
        <v>151.6666667</v>
      </c>
      <c r="AB32" s="35">
        <f t="shared" si="2"/>
        <v>123</v>
      </c>
      <c r="AC32" s="35" t="str">
        <f t="shared" si="3"/>
        <v>&gt;</v>
      </c>
      <c r="AD32" s="35">
        <f t="shared" si="4"/>
        <v>75.83333333</v>
      </c>
      <c r="AE32" s="78">
        <v>100.0</v>
      </c>
      <c r="AF32" s="76" t="str">
        <f t="shared" si="5"/>
        <v>SI</v>
      </c>
      <c r="AG32" s="76" t="str">
        <f t="shared" si="6"/>
        <v>SI</v>
      </c>
    </row>
    <row r="33" ht="21.75" customHeight="1">
      <c r="B33" s="72">
        <v>28.0</v>
      </c>
      <c r="C33" s="81" t="s">
        <v>51</v>
      </c>
      <c r="D33" s="72"/>
      <c r="E33" s="72"/>
      <c r="F33" s="72"/>
      <c r="G33" s="72"/>
      <c r="H33" s="72"/>
      <c r="I33" s="72"/>
      <c r="J33" s="72"/>
      <c r="K33" s="72"/>
      <c r="L33" s="85">
        <v>261.0</v>
      </c>
      <c r="M33" s="85">
        <v>306.0</v>
      </c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35">
        <f t="shared" si="1"/>
        <v>283.5</v>
      </c>
      <c r="AB33" s="35">
        <f t="shared" si="2"/>
        <v>261</v>
      </c>
      <c r="AC33" s="35" t="str">
        <f t="shared" si="3"/>
        <v>&gt;</v>
      </c>
      <c r="AD33" s="35">
        <f t="shared" si="4"/>
        <v>141.75</v>
      </c>
      <c r="AE33" s="78">
        <v>100.0</v>
      </c>
      <c r="AF33" s="76" t="str">
        <f t="shared" si="5"/>
        <v>SI</v>
      </c>
      <c r="AG33" s="76" t="str">
        <f t="shared" si="6"/>
        <v>SI</v>
      </c>
    </row>
    <row r="34" ht="21.75" customHeight="1">
      <c r="B34" s="72">
        <v>29.0</v>
      </c>
      <c r="C34" s="77" t="s">
        <v>52</v>
      </c>
      <c r="D34" s="72"/>
      <c r="E34" s="72"/>
      <c r="F34" s="72"/>
      <c r="G34" s="72"/>
      <c r="H34" s="72"/>
      <c r="I34" s="72"/>
      <c r="J34" s="72"/>
      <c r="K34" s="72"/>
      <c r="L34" s="85">
        <v>204.0</v>
      </c>
      <c r="M34" s="85">
        <v>232.0</v>
      </c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35">
        <f t="shared" si="1"/>
        <v>218</v>
      </c>
      <c r="AB34" s="35">
        <f t="shared" si="2"/>
        <v>204</v>
      </c>
      <c r="AC34" s="35" t="str">
        <f t="shared" si="3"/>
        <v>&gt;</v>
      </c>
      <c r="AD34" s="35">
        <f t="shared" si="4"/>
        <v>109</v>
      </c>
      <c r="AE34" s="78">
        <v>100.0</v>
      </c>
      <c r="AF34" s="76" t="str">
        <f t="shared" si="5"/>
        <v>SI</v>
      </c>
      <c r="AG34" s="76" t="str">
        <f t="shared" si="6"/>
        <v>SI</v>
      </c>
    </row>
    <row r="35" ht="21.75" customHeight="1">
      <c r="B35" s="73">
        <v>30.0</v>
      </c>
      <c r="C35" s="77" t="s">
        <v>53</v>
      </c>
      <c r="D35" s="72"/>
      <c r="E35" s="72"/>
      <c r="F35" s="72"/>
      <c r="G35" s="72"/>
      <c r="H35" s="72"/>
      <c r="I35" s="72"/>
      <c r="J35" s="72"/>
      <c r="K35" s="72"/>
      <c r="L35" s="85">
        <v>357.0</v>
      </c>
      <c r="M35" s="85">
        <v>388.0</v>
      </c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35">
        <f t="shared" si="1"/>
        <v>372.5</v>
      </c>
      <c r="AB35" s="35">
        <f t="shared" si="2"/>
        <v>357</v>
      </c>
      <c r="AC35" s="35" t="str">
        <f t="shared" si="3"/>
        <v>&gt;</v>
      </c>
      <c r="AD35" s="35">
        <f t="shared" si="4"/>
        <v>186.25</v>
      </c>
      <c r="AE35" s="78">
        <v>300.0</v>
      </c>
      <c r="AF35" s="76" t="str">
        <f t="shared" si="5"/>
        <v>SI</v>
      </c>
      <c r="AG35" s="76" t="str">
        <f t="shared" si="6"/>
        <v>SI</v>
      </c>
    </row>
    <row r="36" ht="21.75" customHeight="1">
      <c r="B36" s="72">
        <v>31.0</v>
      </c>
      <c r="C36" s="77" t="s">
        <v>54</v>
      </c>
      <c r="D36" s="72"/>
      <c r="E36" s="72"/>
      <c r="F36" s="72"/>
      <c r="G36" s="72"/>
      <c r="H36" s="72"/>
      <c r="I36" s="72"/>
      <c r="J36" s="72"/>
      <c r="K36" s="72"/>
      <c r="L36" s="85">
        <v>193.0</v>
      </c>
      <c r="M36" s="85">
        <v>205.0</v>
      </c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35">
        <f t="shared" si="1"/>
        <v>199</v>
      </c>
      <c r="AB36" s="35">
        <f t="shared" si="2"/>
        <v>193</v>
      </c>
      <c r="AC36" s="35" t="str">
        <f t="shared" si="3"/>
        <v>&gt;</v>
      </c>
      <c r="AD36" s="35">
        <f t="shared" si="4"/>
        <v>99.5</v>
      </c>
      <c r="AE36" s="78">
        <v>300.0</v>
      </c>
      <c r="AF36" s="76" t="str">
        <f t="shared" si="5"/>
        <v>SI</v>
      </c>
      <c r="AG36" s="76" t="str">
        <f t="shared" si="6"/>
        <v>NO</v>
      </c>
    </row>
    <row r="37" ht="21.75" customHeight="1">
      <c r="B37" s="72">
        <v>32.0</v>
      </c>
      <c r="C37" s="77" t="s">
        <v>55</v>
      </c>
      <c r="D37" s="72"/>
      <c r="E37" s="72"/>
      <c r="F37" s="72"/>
      <c r="G37" s="72"/>
      <c r="H37" s="72"/>
      <c r="I37" s="72"/>
      <c r="J37" s="72"/>
      <c r="K37" s="72"/>
      <c r="L37" s="85">
        <v>107.0</v>
      </c>
      <c r="M37" s="85">
        <v>115.0</v>
      </c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35">
        <f t="shared" si="1"/>
        <v>111</v>
      </c>
      <c r="AB37" s="35">
        <f t="shared" si="2"/>
        <v>107</v>
      </c>
      <c r="AC37" s="35" t="str">
        <f t="shared" si="3"/>
        <v>&gt;</v>
      </c>
      <c r="AD37" s="35">
        <f t="shared" si="4"/>
        <v>55.5</v>
      </c>
      <c r="AE37" s="78">
        <v>300.0</v>
      </c>
      <c r="AF37" s="76" t="str">
        <f t="shared" si="5"/>
        <v>SI</v>
      </c>
      <c r="AG37" s="76" t="str">
        <f t="shared" si="6"/>
        <v>NO</v>
      </c>
    </row>
    <row r="38" ht="21.75" customHeight="1">
      <c r="B38" s="73">
        <v>33.0</v>
      </c>
      <c r="C38" s="77" t="s">
        <v>56</v>
      </c>
      <c r="D38" s="72"/>
      <c r="E38" s="72"/>
      <c r="F38" s="72"/>
      <c r="G38" s="72"/>
      <c r="H38" s="72"/>
      <c r="I38" s="72"/>
      <c r="J38" s="72"/>
      <c r="K38" s="72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35" t="str">
        <f t="shared" si="1"/>
        <v>#DIV/0!</v>
      </c>
      <c r="AB38" s="35">
        <f t="shared" si="2"/>
        <v>0</v>
      </c>
      <c r="AC38" s="35" t="str">
        <f t="shared" si="3"/>
        <v>#DIV/0!</v>
      </c>
      <c r="AD38" s="35" t="str">
        <f t="shared" si="4"/>
        <v>#DIV/0!</v>
      </c>
      <c r="AE38" s="78">
        <v>300.0</v>
      </c>
      <c r="AF38" s="76" t="str">
        <f t="shared" si="5"/>
        <v>#DIV/0!</v>
      </c>
      <c r="AG38" s="76" t="str">
        <f t="shared" si="6"/>
        <v>#DIV/0!</v>
      </c>
    </row>
    <row r="39" ht="21.75" customHeight="1">
      <c r="B39" s="72">
        <v>34.0</v>
      </c>
      <c r="C39" s="77" t="s">
        <v>91</v>
      </c>
      <c r="D39" s="72"/>
      <c r="E39" s="72"/>
      <c r="F39" s="72"/>
      <c r="G39" s="72"/>
      <c r="H39" s="72"/>
      <c r="I39" s="72"/>
      <c r="J39" s="72"/>
      <c r="K39" s="72"/>
      <c r="L39" s="85">
        <v>282.0</v>
      </c>
      <c r="M39" s="85">
        <v>232.0</v>
      </c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35">
        <f t="shared" si="1"/>
        <v>257</v>
      </c>
      <c r="AB39" s="35">
        <f t="shared" si="2"/>
        <v>232</v>
      </c>
      <c r="AC39" s="35" t="str">
        <f t="shared" si="3"/>
        <v>&gt;</v>
      </c>
      <c r="AD39" s="35">
        <f t="shared" si="4"/>
        <v>128.5</v>
      </c>
      <c r="AE39" s="78">
        <v>300.0</v>
      </c>
      <c r="AF39" s="76" t="str">
        <f t="shared" si="5"/>
        <v>SI</v>
      </c>
      <c r="AG39" s="76" t="str">
        <f t="shared" si="6"/>
        <v>NO</v>
      </c>
    </row>
    <row r="40" ht="21.75" customHeight="1">
      <c r="B40" s="72">
        <v>35.0</v>
      </c>
      <c r="C40" s="77" t="s">
        <v>58</v>
      </c>
      <c r="D40" s="72"/>
      <c r="E40" s="72"/>
      <c r="F40" s="72"/>
      <c r="G40" s="72"/>
      <c r="H40" s="72"/>
      <c r="I40" s="72"/>
      <c r="J40" s="72"/>
      <c r="K40" s="72"/>
      <c r="L40" s="85">
        <v>161.0</v>
      </c>
      <c r="M40" s="85">
        <v>155.0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35">
        <f t="shared" si="1"/>
        <v>158</v>
      </c>
      <c r="AB40" s="35">
        <f t="shared" si="2"/>
        <v>155</v>
      </c>
      <c r="AC40" s="35" t="str">
        <f t="shared" si="3"/>
        <v>&gt;</v>
      </c>
      <c r="AD40" s="35">
        <f t="shared" si="4"/>
        <v>79</v>
      </c>
      <c r="AE40" s="78">
        <v>300.0</v>
      </c>
      <c r="AF40" s="76" t="str">
        <f t="shared" si="5"/>
        <v>SI</v>
      </c>
      <c r="AG40" s="76" t="str">
        <f t="shared" si="6"/>
        <v>NO</v>
      </c>
    </row>
    <row r="41" ht="21.75" customHeight="1">
      <c r="B41" s="73">
        <v>36.0</v>
      </c>
      <c r="C41" s="77" t="s">
        <v>92</v>
      </c>
      <c r="D41" s="72"/>
      <c r="E41" s="72"/>
      <c r="F41" s="72"/>
      <c r="G41" s="72"/>
      <c r="H41" s="72"/>
      <c r="I41" s="72"/>
      <c r="J41" s="72"/>
      <c r="K41" s="72"/>
      <c r="L41" s="85">
        <v>205.0</v>
      </c>
      <c r="M41" s="85">
        <v>304.0</v>
      </c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35">
        <f t="shared" si="1"/>
        <v>254.5</v>
      </c>
      <c r="AB41" s="35">
        <f t="shared" si="2"/>
        <v>205</v>
      </c>
      <c r="AC41" s="35" t="str">
        <f t="shared" si="3"/>
        <v>&gt;</v>
      </c>
      <c r="AD41" s="35">
        <f t="shared" si="4"/>
        <v>127.25</v>
      </c>
      <c r="AE41" s="78">
        <v>300.0</v>
      </c>
      <c r="AF41" s="76" t="str">
        <f t="shared" si="5"/>
        <v>SI</v>
      </c>
      <c r="AG41" s="76" t="str">
        <f t="shared" si="6"/>
        <v>NO</v>
      </c>
    </row>
    <row r="42" ht="21.75" customHeight="1">
      <c r="B42" s="72">
        <v>37.0</v>
      </c>
      <c r="C42" s="77" t="s">
        <v>59</v>
      </c>
      <c r="D42" s="72"/>
      <c r="E42" s="72"/>
      <c r="F42" s="72"/>
      <c r="G42" s="72"/>
      <c r="H42" s="72"/>
      <c r="I42" s="72"/>
      <c r="J42" s="72"/>
      <c r="K42" s="72"/>
      <c r="L42" s="85">
        <v>298.0</v>
      </c>
      <c r="M42" s="85">
        <v>301.0</v>
      </c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35">
        <f t="shared" si="1"/>
        <v>299.5</v>
      </c>
      <c r="AB42" s="35">
        <f t="shared" si="2"/>
        <v>298</v>
      </c>
      <c r="AC42" s="35" t="str">
        <f t="shared" si="3"/>
        <v>&gt;</v>
      </c>
      <c r="AD42" s="35">
        <f t="shared" si="4"/>
        <v>149.75</v>
      </c>
      <c r="AE42" s="78">
        <v>300.0</v>
      </c>
      <c r="AF42" s="76" t="str">
        <f t="shared" si="5"/>
        <v>SI</v>
      </c>
      <c r="AG42" s="76" t="str">
        <f t="shared" si="6"/>
        <v>NO</v>
      </c>
    </row>
    <row r="43" ht="21.75" customHeight="1">
      <c r="B43" s="72">
        <v>38.0</v>
      </c>
      <c r="C43" s="77" t="s">
        <v>60</v>
      </c>
      <c r="D43" s="72"/>
      <c r="E43" s="72"/>
      <c r="F43" s="72"/>
      <c r="G43" s="72"/>
      <c r="H43" s="72"/>
      <c r="I43" s="72"/>
      <c r="J43" s="72"/>
      <c r="K43" s="72"/>
      <c r="L43" s="85">
        <v>199.0</v>
      </c>
      <c r="M43" s="85">
        <v>202.0</v>
      </c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35">
        <f t="shared" si="1"/>
        <v>200.5</v>
      </c>
      <c r="AB43" s="35">
        <f t="shared" si="2"/>
        <v>199</v>
      </c>
      <c r="AC43" s="35" t="str">
        <f t="shared" si="3"/>
        <v>&gt;</v>
      </c>
      <c r="AD43" s="35">
        <f t="shared" si="4"/>
        <v>100.25</v>
      </c>
      <c r="AE43" s="78">
        <v>200.0</v>
      </c>
      <c r="AF43" s="76" t="str">
        <f t="shared" si="5"/>
        <v>SI</v>
      </c>
      <c r="AG43" s="76" t="str">
        <f t="shared" si="6"/>
        <v>SI</v>
      </c>
    </row>
    <row r="44" ht="21.75" customHeight="1">
      <c r="B44" s="73">
        <v>39.0</v>
      </c>
      <c r="C44" s="77" t="s">
        <v>61</v>
      </c>
      <c r="D44" s="72"/>
      <c r="E44" s="72"/>
      <c r="F44" s="72"/>
      <c r="G44" s="72"/>
      <c r="H44" s="72"/>
      <c r="I44" s="72"/>
      <c r="J44" s="72"/>
      <c r="K44" s="72"/>
      <c r="L44" s="85">
        <v>212.0</v>
      </c>
      <c r="M44" s="85">
        <v>202.0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35">
        <f t="shared" si="1"/>
        <v>207</v>
      </c>
      <c r="AB44" s="35">
        <f t="shared" si="2"/>
        <v>202</v>
      </c>
      <c r="AC44" s="35" t="str">
        <f t="shared" si="3"/>
        <v>&gt;</v>
      </c>
      <c r="AD44" s="35">
        <f t="shared" si="4"/>
        <v>103.5</v>
      </c>
      <c r="AE44" s="78">
        <v>200.0</v>
      </c>
      <c r="AF44" s="76" t="str">
        <f t="shared" si="5"/>
        <v>SI</v>
      </c>
      <c r="AG44" s="76" t="str">
        <f t="shared" si="6"/>
        <v>SI</v>
      </c>
    </row>
    <row r="45" ht="21.75" customHeight="1">
      <c r="B45" s="72">
        <v>40.0</v>
      </c>
      <c r="C45" s="77" t="s">
        <v>62</v>
      </c>
      <c r="D45" s="72"/>
      <c r="E45" s="72"/>
      <c r="F45" s="72"/>
      <c r="G45" s="72"/>
      <c r="H45" s="72"/>
      <c r="I45" s="72"/>
      <c r="J45" s="72"/>
      <c r="K45" s="72"/>
      <c r="L45" s="85">
        <v>411.0</v>
      </c>
      <c r="M45" s="85">
        <v>365.0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35">
        <f t="shared" si="1"/>
        <v>388</v>
      </c>
      <c r="AB45" s="35">
        <f t="shared" si="2"/>
        <v>365</v>
      </c>
      <c r="AC45" s="35" t="str">
        <f t="shared" si="3"/>
        <v>&gt;</v>
      </c>
      <c r="AD45" s="35">
        <f t="shared" si="4"/>
        <v>194</v>
      </c>
      <c r="AE45" s="78">
        <v>300.0</v>
      </c>
      <c r="AF45" s="76" t="str">
        <f t="shared" si="5"/>
        <v>SI</v>
      </c>
      <c r="AG45" s="76" t="str">
        <f t="shared" si="6"/>
        <v>SI</v>
      </c>
    </row>
    <row r="46" ht="21.75" customHeight="1">
      <c r="B46" s="72">
        <v>41.0</v>
      </c>
      <c r="C46" s="77" t="s">
        <v>63</v>
      </c>
      <c r="D46" s="72"/>
      <c r="E46" s="72"/>
      <c r="F46" s="72"/>
      <c r="G46" s="72"/>
      <c r="H46" s="72"/>
      <c r="I46" s="72"/>
      <c r="J46" s="72"/>
      <c r="K46" s="72"/>
      <c r="L46" s="85">
        <v>282.0</v>
      </c>
      <c r="M46" s="85">
        <v>311.0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35">
        <f t="shared" si="1"/>
        <v>296.5</v>
      </c>
      <c r="AB46" s="35">
        <f t="shared" si="2"/>
        <v>282</v>
      </c>
      <c r="AC46" s="35" t="str">
        <f t="shared" si="3"/>
        <v>&gt;</v>
      </c>
      <c r="AD46" s="35">
        <f t="shared" si="4"/>
        <v>148.25</v>
      </c>
      <c r="AE46" s="78">
        <v>100.0</v>
      </c>
      <c r="AF46" s="76" t="str">
        <f t="shared" si="5"/>
        <v>SI</v>
      </c>
      <c r="AG46" s="76" t="str">
        <f t="shared" si="6"/>
        <v>SI</v>
      </c>
    </row>
    <row r="47" ht="21.75" customHeight="1">
      <c r="B47" s="73">
        <v>42.0</v>
      </c>
      <c r="C47" s="77" t="s">
        <v>523</v>
      </c>
      <c r="D47" s="72"/>
      <c r="E47" s="72"/>
      <c r="F47" s="72"/>
      <c r="G47" s="72"/>
      <c r="H47" s="72"/>
      <c r="I47" s="72"/>
      <c r="J47" s="72"/>
      <c r="K47" s="72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35" t="str">
        <f t="shared" si="1"/>
        <v>#DIV/0!</v>
      </c>
      <c r="AB47" s="35">
        <f t="shared" si="2"/>
        <v>0</v>
      </c>
      <c r="AC47" s="35" t="str">
        <f t="shared" si="3"/>
        <v>#DIV/0!</v>
      </c>
      <c r="AD47" s="35" t="str">
        <f t="shared" si="4"/>
        <v>#DIV/0!</v>
      </c>
      <c r="AE47" s="78">
        <v>100.0</v>
      </c>
      <c r="AF47" s="76" t="str">
        <f t="shared" si="5"/>
        <v>#DIV/0!</v>
      </c>
      <c r="AG47" s="76" t="str">
        <f t="shared" si="6"/>
        <v>#DIV/0!</v>
      </c>
    </row>
    <row r="48" ht="21.75" customHeight="1">
      <c r="B48" s="72">
        <v>43.0</v>
      </c>
      <c r="C48" s="77" t="s">
        <v>65</v>
      </c>
      <c r="D48" s="72"/>
      <c r="E48" s="72"/>
      <c r="F48" s="72"/>
      <c r="G48" s="72"/>
      <c r="H48" s="72"/>
      <c r="I48" s="72"/>
      <c r="J48" s="72"/>
      <c r="K48" s="72"/>
      <c r="L48" s="85">
        <v>275.0</v>
      </c>
      <c r="M48" s="85">
        <v>322.0</v>
      </c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119">
        <f t="shared" si="1"/>
        <v>298.5</v>
      </c>
      <c r="AB48" s="35">
        <f t="shared" si="2"/>
        <v>275</v>
      </c>
      <c r="AC48" s="35" t="str">
        <f t="shared" si="3"/>
        <v>&gt;</v>
      </c>
      <c r="AD48" s="35">
        <f t="shared" si="4"/>
        <v>149.25</v>
      </c>
      <c r="AE48" s="78">
        <v>100.0</v>
      </c>
      <c r="AF48" s="76" t="str">
        <f t="shared" si="5"/>
        <v>SI</v>
      </c>
      <c r="AG48" s="76" t="str">
        <f t="shared" si="6"/>
        <v>SI</v>
      </c>
    </row>
    <row r="49" ht="21.75" customHeight="1">
      <c r="B49" s="72">
        <v>44.0</v>
      </c>
      <c r="C49" s="77" t="s">
        <v>93</v>
      </c>
      <c r="D49" s="72"/>
      <c r="E49" s="72"/>
      <c r="F49" s="72"/>
      <c r="G49" s="72"/>
      <c r="H49" s="72"/>
      <c r="I49" s="72"/>
      <c r="J49" s="72"/>
      <c r="K49" s="72"/>
      <c r="L49" s="85">
        <v>329.0</v>
      </c>
      <c r="M49" s="85">
        <v>158.0</v>
      </c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119">
        <f t="shared" si="1"/>
        <v>243.5</v>
      </c>
      <c r="AB49" s="35">
        <f t="shared" si="2"/>
        <v>158</v>
      </c>
      <c r="AC49" s="35" t="str">
        <f t="shared" si="3"/>
        <v>&gt;</v>
      </c>
      <c r="AD49" s="35">
        <f t="shared" si="4"/>
        <v>121.75</v>
      </c>
      <c r="AE49" s="78">
        <v>100.0</v>
      </c>
      <c r="AF49" s="76" t="str">
        <f t="shared" si="5"/>
        <v>SI</v>
      </c>
      <c r="AG49" s="76" t="str">
        <f t="shared" si="6"/>
        <v>SI</v>
      </c>
    </row>
    <row r="50" ht="21.75" customHeight="1">
      <c r="B50" s="73">
        <v>45.0</v>
      </c>
      <c r="C50" s="77" t="s">
        <v>98</v>
      </c>
      <c r="D50" s="72"/>
      <c r="E50" s="72"/>
      <c r="F50" s="72"/>
      <c r="G50" s="72"/>
      <c r="H50" s="72"/>
      <c r="I50" s="72"/>
      <c r="J50" s="72"/>
      <c r="K50" s="72"/>
      <c r="L50" s="85">
        <v>293.0</v>
      </c>
      <c r="M50" s="85">
        <v>360.0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119">
        <f t="shared" si="1"/>
        <v>326.5</v>
      </c>
      <c r="AB50" s="35">
        <f t="shared" si="2"/>
        <v>293</v>
      </c>
      <c r="AC50" s="35" t="str">
        <f t="shared" si="3"/>
        <v>&gt;</v>
      </c>
      <c r="AD50" s="35">
        <f t="shared" si="4"/>
        <v>163.25</v>
      </c>
      <c r="AE50" s="78">
        <v>500.0</v>
      </c>
      <c r="AF50" s="76" t="str">
        <f t="shared" si="5"/>
        <v>SI</v>
      </c>
      <c r="AG50" s="76" t="str">
        <f t="shared" si="6"/>
        <v>NO</v>
      </c>
    </row>
    <row r="51" ht="21.75" customHeight="1">
      <c r="B51" s="72">
        <v>46.0</v>
      </c>
      <c r="C51" s="77" t="s">
        <v>66</v>
      </c>
      <c r="D51" s="72"/>
      <c r="E51" s="72"/>
      <c r="F51" s="72"/>
      <c r="G51" s="72"/>
      <c r="H51" s="72"/>
      <c r="I51" s="72"/>
      <c r="J51" s="72"/>
      <c r="K51" s="72"/>
      <c r="L51" s="85">
        <v>365.0</v>
      </c>
      <c r="M51" s="85">
        <v>445.0</v>
      </c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119">
        <f t="shared" si="1"/>
        <v>405</v>
      </c>
      <c r="AB51" s="35">
        <f t="shared" si="2"/>
        <v>365</v>
      </c>
      <c r="AC51" s="35" t="str">
        <f t="shared" si="3"/>
        <v>&gt;</v>
      </c>
      <c r="AD51" s="35">
        <f t="shared" si="4"/>
        <v>202.5</v>
      </c>
      <c r="AE51" s="78">
        <v>300.0</v>
      </c>
      <c r="AF51" s="76" t="str">
        <f t="shared" si="5"/>
        <v>SI</v>
      </c>
      <c r="AG51" s="76" t="str">
        <f t="shared" si="6"/>
        <v>SI</v>
      </c>
    </row>
    <row r="52" ht="21.75" customHeight="1">
      <c r="B52" s="72">
        <v>47.0</v>
      </c>
      <c r="C52" s="77" t="s">
        <v>99</v>
      </c>
      <c r="D52" s="72"/>
      <c r="E52" s="72"/>
      <c r="F52" s="72"/>
      <c r="G52" s="72"/>
      <c r="H52" s="72"/>
      <c r="I52" s="72"/>
      <c r="J52" s="72"/>
      <c r="K52" s="72"/>
      <c r="L52" s="85">
        <v>44.0</v>
      </c>
      <c r="M52" s="85">
        <v>54.0</v>
      </c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119">
        <f t="shared" si="1"/>
        <v>49</v>
      </c>
      <c r="AB52" s="35">
        <f t="shared" si="2"/>
        <v>44</v>
      </c>
      <c r="AC52" s="35" t="str">
        <f t="shared" si="3"/>
        <v>&gt;</v>
      </c>
      <c r="AD52" s="35">
        <f t="shared" si="4"/>
        <v>24.5</v>
      </c>
      <c r="AE52" s="78">
        <v>200.0</v>
      </c>
      <c r="AF52" s="76" t="str">
        <f t="shared" si="5"/>
        <v>SI</v>
      </c>
      <c r="AG52" s="76" t="str">
        <f t="shared" si="6"/>
        <v>NO</v>
      </c>
    </row>
    <row r="53" ht="21.75" customHeight="1">
      <c r="B53" s="73">
        <v>48.0</v>
      </c>
      <c r="C53" s="77" t="s">
        <v>67</v>
      </c>
      <c r="D53" s="72"/>
      <c r="E53" s="72"/>
      <c r="F53" s="72"/>
      <c r="G53" s="72"/>
      <c r="H53" s="72"/>
      <c r="I53" s="72"/>
      <c r="J53" s="72"/>
      <c r="K53" s="72"/>
      <c r="L53" s="85">
        <v>438.0</v>
      </c>
      <c r="M53" s="85">
        <v>418.0</v>
      </c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119">
        <f t="shared" si="1"/>
        <v>428</v>
      </c>
      <c r="AB53" s="35">
        <f t="shared" si="2"/>
        <v>418</v>
      </c>
      <c r="AC53" s="35" t="str">
        <f t="shared" si="3"/>
        <v>&gt;</v>
      </c>
      <c r="AD53" s="35">
        <f t="shared" si="4"/>
        <v>214</v>
      </c>
      <c r="AE53" s="78">
        <v>500.0</v>
      </c>
      <c r="AF53" s="76" t="str">
        <f t="shared" si="5"/>
        <v>SI</v>
      </c>
      <c r="AG53" s="76" t="str">
        <f t="shared" si="6"/>
        <v>NO</v>
      </c>
    </row>
    <row r="54" ht="21.75" customHeight="1">
      <c r="B54" s="72">
        <v>49.0</v>
      </c>
      <c r="C54" s="77" t="s">
        <v>68</v>
      </c>
      <c r="D54" s="72"/>
      <c r="E54" s="72"/>
      <c r="F54" s="72"/>
      <c r="G54" s="72"/>
      <c r="H54" s="72"/>
      <c r="I54" s="72"/>
      <c r="J54" s="72"/>
      <c r="K54" s="72"/>
      <c r="L54" s="85">
        <v>537.0</v>
      </c>
      <c r="M54" s="85">
        <v>455.0</v>
      </c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119">
        <f t="shared" si="1"/>
        <v>496</v>
      </c>
      <c r="AB54" s="35">
        <f t="shared" si="2"/>
        <v>455</v>
      </c>
      <c r="AC54" s="35" t="str">
        <f t="shared" si="3"/>
        <v>&gt;</v>
      </c>
      <c r="AD54" s="35">
        <f t="shared" si="4"/>
        <v>248</v>
      </c>
      <c r="AE54" s="78">
        <v>300.0</v>
      </c>
      <c r="AF54" s="76" t="str">
        <f t="shared" si="5"/>
        <v>SI</v>
      </c>
      <c r="AG54" s="76" t="str">
        <f t="shared" si="6"/>
        <v>SI</v>
      </c>
    </row>
    <row r="55" ht="21.75" customHeight="1">
      <c r="B55" s="72">
        <v>50.0</v>
      </c>
      <c r="C55" s="77" t="s">
        <v>69</v>
      </c>
      <c r="D55" s="72"/>
      <c r="E55" s="72"/>
      <c r="F55" s="72"/>
      <c r="G55" s="72"/>
      <c r="H55" s="72"/>
      <c r="I55" s="72"/>
      <c r="J55" s="72"/>
      <c r="K55" s="72"/>
      <c r="L55" s="85">
        <v>288.0</v>
      </c>
      <c r="M55" s="85">
        <v>305.0</v>
      </c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119">
        <f t="shared" si="1"/>
        <v>296.5</v>
      </c>
      <c r="AB55" s="35">
        <f t="shared" si="2"/>
        <v>288</v>
      </c>
      <c r="AC55" s="35" t="str">
        <f t="shared" si="3"/>
        <v>&gt;</v>
      </c>
      <c r="AD55" s="35">
        <f t="shared" si="4"/>
        <v>148.25</v>
      </c>
      <c r="AE55" s="78">
        <v>50.0</v>
      </c>
      <c r="AF55" s="76" t="str">
        <f t="shared" si="5"/>
        <v>SI</v>
      </c>
      <c r="AG55" s="76" t="str">
        <f t="shared" si="6"/>
        <v>SI</v>
      </c>
    </row>
    <row r="56" ht="21.75" customHeight="1">
      <c r="B56" s="73">
        <v>51.0</v>
      </c>
      <c r="C56" s="77" t="s">
        <v>84</v>
      </c>
      <c r="D56" s="72"/>
      <c r="E56" s="72"/>
      <c r="F56" s="72"/>
      <c r="G56" s="72"/>
      <c r="H56" s="72"/>
      <c r="I56" s="72"/>
      <c r="J56" s="72"/>
      <c r="K56" s="72"/>
      <c r="L56" s="85">
        <v>1155.0</v>
      </c>
      <c r="M56" s="85">
        <v>997.0</v>
      </c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119">
        <f t="shared" si="1"/>
        <v>1076</v>
      </c>
      <c r="AB56" s="35">
        <f t="shared" si="2"/>
        <v>997</v>
      </c>
      <c r="AC56" s="35" t="str">
        <f t="shared" si="3"/>
        <v>&gt;</v>
      </c>
      <c r="AD56" s="35">
        <f t="shared" si="4"/>
        <v>538</v>
      </c>
      <c r="AE56" s="78">
        <v>300.0</v>
      </c>
      <c r="AF56" s="76" t="str">
        <f t="shared" si="5"/>
        <v>SI</v>
      </c>
      <c r="AG56" s="76" t="str">
        <f t="shared" si="6"/>
        <v>SI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G73" s="84" t="str">
        <f>AVERAGE(F49:H72)</f>
        <v>#DIV/0!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I3:I4"/>
    <mergeCell ref="J3:J4"/>
    <mergeCell ref="B5:B6"/>
    <mergeCell ref="C5:C6"/>
    <mergeCell ref="D5:D6"/>
    <mergeCell ref="E5:E6"/>
    <mergeCell ref="F5:F6"/>
    <mergeCell ref="D3:F3"/>
    <mergeCell ref="L3:Z3"/>
    <mergeCell ref="AA3:AA4"/>
    <mergeCell ref="AB3:AD4"/>
    <mergeCell ref="AA5:AA6"/>
    <mergeCell ref="AB5:AB6"/>
    <mergeCell ref="AC5:AC6"/>
    <mergeCell ref="AD5:AD6"/>
    <mergeCell ref="AE3:AE4"/>
    <mergeCell ref="AF3:AF4"/>
    <mergeCell ref="AE5:AE6"/>
    <mergeCell ref="AF5:AF6"/>
    <mergeCell ref="AG5:AG6"/>
    <mergeCell ref="C1:Z1"/>
    <mergeCell ref="B2:AG2"/>
    <mergeCell ref="B3:B4"/>
    <mergeCell ref="C3:C4"/>
    <mergeCell ref="G3:G4"/>
    <mergeCell ref="H3:H4"/>
    <mergeCell ref="K3:K4"/>
    <mergeCell ref="AG3:AG4"/>
  </mergeCells>
  <conditionalFormatting sqref="AF5 AF7:AF14 AF18:AG18 AF20:AG21 AF23:AG28 AF32 AF34 AF36:AG36 AF40:AG45 AG5:AG14 AG32:AG34">
    <cfRule type="cellIs" dxfId="0" priority="1" stopIfTrue="1" operator="equal">
      <formula>"NO"</formula>
    </cfRule>
  </conditionalFormatting>
  <conditionalFormatting sqref="AF29:AG31">
    <cfRule type="cellIs" dxfId="0" priority="2" stopIfTrue="1" operator="equal">
      <formula>"NO"</formula>
    </cfRule>
  </conditionalFormatting>
  <conditionalFormatting sqref="AF37:AG37">
    <cfRule type="cellIs" dxfId="0" priority="3" stopIfTrue="1" operator="equal">
      <formula>"NO"</formula>
    </cfRule>
  </conditionalFormatting>
  <conditionalFormatting sqref="AF16:AG16">
    <cfRule type="cellIs" dxfId="0" priority="4" stopIfTrue="1" operator="equal">
      <formula>"NO"</formula>
    </cfRule>
  </conditionalFormatting>
  <conditionalFormatting sqref="AF35:AG35">
    <cfRule type="cellIs" dxfId="0" priority="5" stopIfTrue="1" operator="equal">
      <formula>"NO"</formula>
    </cfRule>
  </conditionalFormatting>
  <conditionalFormatting sqref="AF39:AG39">
    <cfRule type="cellIs" dxfId="0" priority="6" stopIfTrue="1" operator="equal">
      <formula>"NO"</formula>
    </cfRule>
  </conditionalFormatting>
  <conditionalFormatting sqref="AF38:AG38">
    <cfRule type="cellIs" dxfId="0" priority="7" stopIfTrue="1" operator="equal">
      <formula>"NO"</formula>
    </cfRule>
  </conditionalFormatting>
  <conditionalFormatting sqref="AF46:AG56">
    <cfRule type="cellIs" dxfId="0" priority="8" stopIfTrue="1" operator="equal">
      <formula>"NO"</formula>
    </cfRule>
  </conditionalFormatting>
  <conditionalFormatting sqref="AF33">
    <cfRule type="cellIs" dxfId="0" priority="9" stopIfTrue="1" operator="equal">
      <formula>"NO"</formula>
    </cfRule>
  </conditionalFormatting>
  <conditionalFormatting sqref="AF15:AG15">
    <cfRule type="cellIs" dxfId="0" priority="10" stopIfTrue="1" operator="equal">
      <formula>"NO"</formula>
    </cfRule>
  </conditionalFormatting>
  <conditionalFormatting sqref="AF17:AG17">
    <cfRule type="cellIs" dxfId="0" priority="11" stopIfTrue="1" operator="equal">
      <formula>"NO"</formula>
    </cfRule>
  </conditionalFormatting>
  <conditionalFormatting sqref="AF19:AG19">
    <cfRule type="cellIs" dxfId="0" priority="12" stopIfTrue="1" operator="equal">
      <formula>"NO"</formula>
    </cfRule>
  </conditionalFormatting>
  <conditionalFormatting sqref="AF22:AG22">
    <cfRule type="cellIs" dxfId="0" priority="13" stopIfTrue="1" operator="equal">
      <formula>"NO"</formula>
    </cfRule>
  </conditionalFormatting>
  <printOptions/>
  <pageMargins bottom="0.7480314960629921" footer="0.0" header="0.0" left="0.7086614173228347" right="0.7086614173228347" top="0.7480314960629921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7.57"/>
    <col customWidth="1" min="3" max="3" width="30.29"/>
    <col customWidth="1" min="4" max="5" width="6.14"/>
    <col customWidth="1" min="6" max="6" width="5.43"/>
    <col customWidth="1" min="7" max="22" width="6.71"/>
    <col customWidth="1" min="23" max="23" width="2.86"/>
    <col customWidth="1" min="24" max="24" width="3.14"/>
    <col customWidth="1" min="25" max="25" width="68.57"/>
    <col customWidth="1" min="26" max="26" width="11.43"/>
  </cols>
  <sheetData>
    <row r="1">
      <c r="C1" s="59" t="s">
        <v>0</v>
      </c>
      <c r="V1" s="59"/>
    </row>
    <row r="2" ht="15.0" customHeight="1">
      <c r="B2" s="60" t="s">
        <v>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4"/>
    </row>
    <row r="3" ht="15.0" customHeight="1">
      <c r="B3" s="11" t="s">
        <v>94</v>
      </c>
      <c r="C3" s="11" t="s">
        <v>4</v>
      </c>
      <c r="D3" s="62" t="s">
        <v>5</v>
      </c>
      <c r="E3" s="8"/>
      <c r="F3" s="9"/>
      <c r="G3" s="62" t="s">
        <v>11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63"/>
      <c r="W3" s="120" t="s">
        <v>524</v>
      </c>
      <c r="X3" s="9"/>
      <c r="Y3" s="121" t="s">
        <v>525</v>
      </c>
    </row>
    <row r="4" ht="25.5" customHeight="1">
      <c r="B4" s="15"/>
      <c r="C4" s="15"/>
      <c r="D4" s="65" t="s">
        <v>21</v>
      </c>
      <c r="E4" s="65" t="s">
        <v>22</v>
      </c>
      <c r="F4" s="65" t="s">
        <v>23</v>
      </c>
      <c r="G4" s="66">
        <v>1.0</v>
      </c>
      <c r="H4" s="66">
        <v>2.0</v>
      </c>
      <c r="I4" s="66">
        <v>3.0</v>
      </c>
      <c r="J4" s="66">
        <v>4.0</v>
      </c>
      <c r="K4" s="66">
        <v>5.0</v>
      </c>
      <c r="L4" s="66">
        <v>6.0</v>
      </c>
      <c r="M4" s="66">
        <v>7.0</v>
      </c>
      <c r="N4" s="66">
        <v>8.0</v>
      </c>
      <c r="O4" s="66">
        <v>9.0</v>
      </c>
      <c r="P4" s="66">
        <v>10.0</v>
      </c>
      <c r="Q4" s="66">
        <v>11.0</v>
      </c>
      <c r="R4" s="66">
        <v>12.0</v>
      </c>
      <c r="S4" s="66">
        <v>13.0</v>
      </c>
      <c r="T4" s="66">
        <v>14.0</v>
      </c>
      <c r="U4" s="66">
        <v>15.0</v>
      </c>
      <c r="V4" s="66">
        <v>16.0</v>
      </c>
      <c r="W4" s="122" t="s">
        <v>526</v>
      </c>
      <c r="X4" s="122" t="s">
        <v>527</v>
      </c>
      <c r="Y4" s="88"/>
    </row>
    <row r="5" ht="34.5" customHeight="1">
      <c r="B5" s="67">
        <v>1.0</v>
      </c>
      <c r="C5" s="68" t="s">
        <v>95</v>
      </c>
      <c r="D5" s="67">
        <v>58.0</v>
      </c>
      <c r="E5" s="67">
        <v>70.0</v>
      </c>
      <c r="F5" s="67">
        <v>4.25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4"/>
      <c r="X5" s="88"/>
      <c r="Y5" s="88"/>
    </row>
    <row r="6" ht="34.5" customHeight="1">
      <c r="B6" s="28"/>
      <c r="C6" s="28"/>
      <c r="D6" s="28"/>
      <c r="E6" s="28"/>
      <c r="F6" s="28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4"/>
      <c r="X6" s="88"/>
      <c r="Y6" s="88"/>
    </row>
    <row r="7" ht="34.5" customHeight="1">
      <c r="B7" s="15"/>
      <c r="C7" s="15"/>
      <c r="D7" s="15"/>
      <c r="E7" s="15"/>
      <c r="F7" s="15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4"/>
      <c r="X7" s="88"/>
      <c r="Y7" s="88"/>
    </row>
    <row r="8" ht="34.5" customHeight="1">
      <c r="B8" s="73">
        <v>2.0</v>
      </c>
      <c r="C8" s="74" t="s">
        <v>25</v>
      </c>
      <c r="D8" s="72">
        <v>5.05</v>
      </c>
      <c r="E8" s="72">
        <v>38.25</v>
      </c>
      <c r="F8" s="72">
        <v>4.25</v>
      </c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4"/>
      <c r="X8" s="88"/>
      <c r="Y8" s="88"/>
    </row>
    <row r="9" ht="34.5" customHeight="1">
      <c r="B9" s="72">
        <v>3.0</v>
      </c>
      <c r="C9" s="77" t="s">
        <v>26</v>
      </c>
      <c r="D9" s="72">
        <v>7.22</v>
      </c>
      <c r="E9" s="72">
        <v>2.39</v>
      </c>
      <c r="F9" s="72">
        <v>4.25</v>
      </c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4"/>
      <c r="X9" s="88"/>
      <c r="Y9" s="88"/>
    </row>
    <row r="10" ht="34.5" customHeight="1">
      <c r="B10" s="72">
        <v>4.0</v>
      </c>
      <c r="C10" s="77" t="s">
        <v>107</v>
      </c>
      <c r="D10" s="72">
        <v>2.49</v>
      </c>
      <c r="E10" s="72">
        <v>3.26</v>
      </c>
      <c r="F10" s="72">
        <v>2.88</v>
      </c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4"/>
      <c r="X10" s="88"/>
      <c r="Y10" s="88"/>
    </row>
    <row r="11" ht="34.5" customHeight="1">
      <c r="B11" s="73">
        <v>5.0</v>
      </c>
      <c r="C11" s="77" t="s">
        <v>96</v>
      </c>
      <c r="D11" s="72">
        <v>3.78</v>
      </c>
      <c r="E11" s="72">
        <v>3.66</v>
      </c>
      <c r="F11" s="72">
        <v>2.88</v>
      </c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4"/>
      <c r="X11" s="88"/>
      <c r="Y11" s="88"/>
    </row>
    <row r="12" ht="34.5" customHeight="1">
      <c r="B12" s="72">
        <v>6.0</v>
      </c>
      <c r="C12" s="77" t="s">
        <v>30</v>
      </c>
      <c r="D12" s="72">
        <v>3.61</v>
      </c>
      <c r="E12" s="72">
        <v>6.15</v>
      </c>
      <c r="F12" s="72">
        <v>2.88</v>
      </c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4"/>
      <c r="X12" s="88"/>
      <c r="Y12" s="88"/>
    </row>
    <row r="13" ht="34.5" customHeight="1">
      <c r="B13" s="72">
        <v>7.0</v>
      </c>
      <c r="C13" s="77" t="s">
        <v>31</v>
      </c>
      <c r="D13" s="86" t="s">
        <v>28</v>
      </c>
      <c r="E13" s="86" t="s">
        <v>28</v>
      </c>
      <c r="F13" s="86" t="s">
        <v>28</v>
      </c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4"/>
      <c r="X13" s="88"/>
      <c r="Y13" s="88"/>
    </row>
    <row r="14" ht="34.5" customHeight="1">
      <c r="B14" s="73">
        <v>8.0</v>
      </c>
      <c r="C14" s="77" t="s">
        <v>32</v>
      </c>
      <c r="D14" s="72">
        <v>15.51</v>
      </c>
      <c r="E14" s="72">
        <v>5.08</v>
      </c>
      <c r="F14" s="72">
        <v>4.53</v>
      </c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4"/>
      <c r="X14" s="88"/>
      <c r="Y14" s="88"/>
    </row>
    <row r="15" ht="34.5" customHeight="1">
      <c r="B15" s="72">
        <v>9.0</v>
      </c>
      <c r="C15" s="77" t="s">
        <v>33</v>
      </c>
      <c r="D15" s="72">
        <v>10.08</v>
      </c>
      <c r="E15" s="72">
        <v>14.52</v>
      </c>
      <c r="F15" s="72">
        <v>2.94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4"/>
      <c r="X15" s="88"/>
      <c r="Y15" s="88"/>
    </row>
    <row r="16" ht="34.5" customHeight="1">
      <c r="B16" s="72">
        <v>10.0</v>
      </c>
      <c r="C16" s="77" t="s">
        <v>34</v>
      </c>
      <c r="D16" s="72">
        <v>3.83</v>
      </c>
      <c r="E16" s="72">
        <v>6.2</v>
      </c>
      <c r="F16" s="72">
        <v>2.94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4"/>
      <c r="X16" s="88"/>
      <c r="Y16" s="88"/>
    </row>
    <row r="17" ht="34.5" customHeight="1">
      <c r="B17" s="73">
        <v>11.0</v>
      </c>
      <c r="C17" s="77" t="s">
        <v>35</v>
      </c>
      <c r="D17" s="72">
        <v>3.83</v>
      </c>
      <c r="E17" s="72">
        <v>4.03</v>
      </c>
      <c r="F17" s="72">
        <v>2.94</v>
      </c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4"/>
      <c r="X17" s="88"/>
      <c r="Y17" s="88"/>
    </row>
    <row r="18" ht="34.5" customHeight="1">
      <c r="B18" s="72">
        <v>12.0</v>
      </c>
      <c r="C18" s="77" t="s">
        <v>36</v>
      </c>
      <c r="D18" s="72">
        <v>2.97</v>
      </c>
      <c r="E18" s="72">
        <v>3.89</v>
      </c>
      <c r="F18" s="72">
        <v>2.94</v>
      </c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4"/>
      <c r="X18" s="88"/>
      <c r="Y18" s="88"/>
    </row>
    <row r="19" ht="34.5" customHeight="1">
      <c r="B19" s="72">
        <v>13.0</v>
      </c>
      <c r="C19" s="77" t="s">
        <v>37</v>
      </c>
      <c r="D19" s="72">
        <v>2.56</v>
      </c>
      <c r="E19" s="72">
        <v>3.05</v>
      </c>
      <c r="F19" s="72">
        <v>2.94</v>
      </c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4"/>
      <c r="X19" s="88"/>
      <c r="Y19" s="88"/>
    </row>
    <row r="20" ht="34.5" customHeight="1">
      <c r="B20" s="73">
        <v>14.0</v>
      </c>
      <c r="C20" s="77" t="s">
        <v>38</v>
      </c>
      <c r="D20" s="72">
        <v>4.23</v>
      </c>
      <c r="E20" s="72">
        <v>3.71</v>
      </c>
      <c r="F20" s="72">
        <v>2.94</v>
      </c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4"/>
      <c r="X20" s="88"/>
      <c r="Y20" s="88"/>
    </row>
    <row r="21" ht="34.5" customHeight="1">
      <c r="B21" s="72">
        <v>15.0</v>
      </c>
      <c r="C21" s="77" t="s">
        <v>39</v>
      </c>
      <c r="D21" s="72">
        <v>5.75</v>
      </c>
      <c r="E21" s="72">
        <v>2.79</v>
      </c>
      <c r="F21" s="72">
        <v>2.94</v>
      </c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4"/>
      <c r="X21" s="88"/>
      <c r="Y21" s="88"/>
    </row>
    <row r="22" ht="34.5" customHeight="1">
      <c r="B22" s="72">
        <v>16.0</v>
      </c>
      <c r="C22" s="77" t="s">
        <v>40</v>
      </c>
      <c r="D22" s="72">
        <v>3.97</v>
      </c>
      <c r="E22" s="72">
        <v>3.66</v>
      </c>
      <c r="F22" s="72">
        <v>2.94</v>
      </c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4"/>
      <c r="X22" s="88"/>
      <c r="Y22" s="88"/>
    </row>
    <row r="23" ht="34.5" customHeight="1">
      <c r="B23" s="73">
        <v>17.0</v>
      </c>
      <c r="C23" s="77" t="s">
        <v>90</v>
      </c>
      <c r="D23" s="72">
        <v>7.11</v>
      </c>
      <c r="E23" s="72">
        <v>3.53</v>
      </c>
      <c r="F23" s="72">
        <v>2.94</v>
      </c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4"/>
      <c r="X23" s="88"/>
      <c r="Y23" s="88"/>
    </row>
    <row r="24" ht="34.5" customHeight="1">
      <c r="B24" s="72">
        <v>18.0</v>
      </c>
      <c r="C24" s="77" t="s">
        <v>42</v>
      </c>
      <c r="D24" s="72">
        <v>4.12</v>
      </c>
      <c r="E24" s="72">
        <v>3.32</v>
      </c>
      <c r="F24" s="72">
        <v>2.94</v>
      </c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4"/>
      <c r="X24" s="88"/>
      <c r="Y24" s="88"/>
    </row>
    <row r="25" ht="34.5" customHeight="1">
      <c r="B25" s="72">
        <v>19.0</v>
      </c>
      <c r="C25" s="77" t="s">
        <v>43</v>
      </c>
      <c r="D25" s="72">
        <v>3.1</v>
      </c>
      <c r="E25" s="72">
        <v>9.06</v>
      </c>
      <c r="F25" s="72">
        <v>2.94</v>
      </c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4"/>
      <c r="X25" s="88"/>
      <c r="Y25" s="88"/>
    </row>
    <row r="26" ht="34.5" customHeight="1">
      <c r="B26" s="73">
        <v>20.0</v>
      </c>
      <c r="C26" s="77" t="s">
        <v>44</v>
      </c>
      <c r="D26" s="72">
        <v>3.03</v>
      </c>
      <c r="E26" s="72">
        <v>20.87</v>
      </c>
      <c r="F26" s="72">
        <v>2.94</v>
      </c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4"/>
      <c r="X26" s="88"/>
      <c r="Y26" s="88"/>
    </row>
    <row r="27" ht="34.5" customHeight="1">
      <c r="B27" s="72">
        <v>21.0</v>
      </c>
      <c r="C27" s="77" t="s">
        <v>45</v>
      </c>
      <c r="D27" s="72">
        <v>4.22</v>
      </c>
      <c r="E27" s="72">
        <v>5.55</v>
      </c>
      <c r="F27" s="72">
        <v>2.94</v>
      </c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4"/>
      <c r="X27" s="88"/>
      <c r="Y27" s="88"/>
    </row>
    <row r="28" ht="34.5" customHeight="1">
      <c r="B28" s="72">
        <v>22.0</v>
      </c>
      <c r="C28" s="77" t="s">
        <v>46</v>
      </c>
      <c r="D28" s="72">
        <v>4.98</v>
      </c>
      <c r="E28" s="72">
        <v>8.2</v>
      </c>
      <c r="F28" s="72">
        <v>2.94</v>
      </c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4"/>
      <c r="X28" s="88"/>
      <c r="Y28" s="88"/>
    </row>
    <row r="29" ht="34.5" customHeight="1">
      <c r="B29" s="73">
        <v>23.0</v>
      </c>
      <c r="C29" s="77" t="s">
        <v>97</v>
      </c>
      <c r="D29" s="72">
        <v>3.92</v>
      </c>
      <c r="E29" s="72">
        <v>1.7</v>
      </c>
      <c r="F29" s="72">
        <v>2.85</v>
      </c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4"/>
      <c r="X29" s="88"/>
      <c r="Y29" s="88"/>
    </row>
    <row r="30" ht="34.5" customHeight="1">
      <c r="B30" s="72">
        <v>24.0</v>
      </c>
      <c r="C30" s="77" t="s">
        <v>47</v>
      </c>
      <c r="D30" s="86" t="s">
        <v>28</v>
      </c>
      <c r="E30" s="86" t="s">
        <v>28</v>
      </c>
      <c r="F30" s="86" t="s">
        <v>28</v>
      </c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4"/>
      <c r="X30" s="88"/>
      <c r="Y30" s="88"/>
    </row>
    <row r="31" ht="34.5" customHeight="1">
      <c r="B31" s="72">
        <v>25.0</v>
      </c>
      <c r="C31" s="77" t="s">
        <v>48</v>
      </c>
      <c r="D31" s="86" t="s">
        <v>28</v>
      </c>
      <c r="E31" s="86" t="s">
        <v>28</v>
      </c>
      <c r="F31" s="86" t="s">
        <v>28</v>
      </c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4"/>
      <c r="X31" s="88"/>
      <c r="Y31" s="88"/>
    </row>
    <row r="32" ht="34.5" customHeight="1">
      <c r="B32" s="72">
        <v>26.0</v>
      </c>
      <c r="C32" s="77" t="s">
        <v>49</v>
      </c>
      <c r="D32" s="86" t="s">
        <v>28</v>
      </c>
      <c r="E32" s="86" t="s">
        <v>28</v>
      </c>
      <c r="F32" s="86" t="s">
        <v>28</v>
      </c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88"/>
      <c r="Y32" s="88"/>
    </row>
    <row r="33" ht="34.5" customHeight="1">
      <c r="B33" s="73">
        <v>27.0</v>
      </c>
      <c r="C33" s="81" t="s">
        <v>50</v>
      </c>
      <c r="D33" s="86" t="s">
        <v>28</v>
      </c>
      <c r="E33" s="86" t="s">
        <v>28</v>
      </c>
      <c r="F33" s="86" t="s">
        <v>28</v>
      </c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4"/>
      <c r="X33" s="88"/>
      <c r="Y33" s="88"/>
    </row>
    <row r="34" ht="34.5" customHeight="1">
      <c r="B34" s="72">
        <v>28.0</v>
      </c>
      <c r="C34" s="81" t="s">
        <v>51</v>
      </c>
      <c r="D34" s="86" t="s">
        <v>28</v>
      </c>
      <c r="E34" s="86" t="s">
        <v>28</v>
      </c>
      <c r="F34" s="86" t="s">
        <v>28</v>
      </c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4"/>
      <c r="X34" s="88"/>
      <c r="Y34" s="88"/>
    </row>
    <row r="35" ht="34.5" customHeight="1">
      <c r="B35" s="72">
        <v>29.0</v>
      </c>
      <c r="C35" s="77" t="s">
        <v>52</v>
      </c>
      <c r="D35" s="86" t="s">
        <v>28</v>
      </c>
      <c r="E35" s="86" t="s">
        <v>28</v>
      </c>
      <c r="F35" s="86" t="s">
        <v>28</v>
      </c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4"/>
      <c r="X35" s="88"/>
      <c r="Y35" s="88"/>
    </row>
    <row r="36" ht="34.5" customHeight="1">
      <c r="B36" s="73">
        <v>30.0</v>
      </c>
      <c r="C36" s="77" t="s">
        <v>53</v>
      </c>
      <c r="D36" s="72">
        <v>2.6</v>
      </c>
      <c r="E36" s="72">
        <v>2.33</v>
      </c>
      <c r="F36" s="72">
        <v>2.7</v>
      </c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4"/>
      <c r="X36" s="88"/>
      <c r="Y36" s="88"/>
    </row>
    <row r="37" ht="34.5" customHeight="1">
      <c r="B37" s="72">
        <v>31.0</v>
      </c>
      <c r="C37" s="77" t="s">
        <v>54</v>
      </c>
      <c r="D37" s="72">
        <v>2.61</v>
      </c>
      <c r="E37" s="72">
        <v>4.71</v>
      </c>
      <c r="F37" s="72">
        <v>2.7</v>
      </c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4"/>
      <c r="X37" s="88"/>
      <c r="Y37" s="88"/>
    </row>
    <row r="38" ht="34.5" customHeight="1">
      <c r="B38" s="72">
        <v>32.0</v>
      </c>
      <c r="C38" s="77" t="s">
        <v>55</v>
      </c>
      <c r="D38" s="72">
        <v>2.35</v>
      </c>
      <c r="E38" s="72">
        <v>2.8</v>
      </c>
      <c r="F38" s="72">
        <v>2.7</v>
      </c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4"/>
      <c r="X38" s="88"/>
      <c r="Y38" s="88"/>
    </row>
    <row r="39" ht="34.5" customHeight="1">
      <c r="B39" s="73">
        <v>33.0</v>
      </c>
      <c r="C39" s="77" t="s">
        <v>56</v>
      </c>
      <c r="D39" s="72">
        <v>4.1</v>
      </c>
      <c r="E39" s="72">
        <v>7.16</v>
      </c>
      <c r="F39" s="72">
        <v>2.7</v>
      </c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4"/>
      <c r="X39" s="88"/>
      <c r="Y39" s="88"/>
    </row>
    <row r="40" ht="34.5" customHeight="1">
      <c r="B40" s="72">
        <v>34.0</v>
      </c>
      <c r="C40" s="77" t="s">
        <v>91</v>
      </c>
      <c r="D40" s="88">
        <v>4.04</v>
      </c>
      <c r="E40" s="88">
        <v>3.05</v>
      </c>
      <c r="F40" s="88">
        <v>2.7</v>
      </c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4"/>
      <c r="X40" s="88"/>
      <c r="Y40" s="88"/>
    </row>
    <row r="41" ht="34.5" customHeight="1">
      <c r="B41" s="72">
        <v>35.0</v>
      </c>
      <c r="C41" s="77" t="s">
        <v>58</v>
      </c>
      <c r="D41" s="72">
        <v>4.67</v>
      </c>
      <c r="E41" s="72">
        <v>4.53</v>
      </c>
      <c r="F41" s="72">
        <v>2.67</v>
      </c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4"/>
      <c r="X41" s="88"/>
      <c r="Y41" s="88"/>
    </row>
    <row r="42" ht="34.5" customHeight="1">
      <c r="B42" s="73">
        <v>36.0</v>
      </c>
      <c r="C42" s="77" t="s">
        <v>92</v>
      </c>
      <c r="D42" s="72">
        <v>4.06</v>
      </c>
      <c r="E42" s="72">
        <v>2.84</v>
      </c>
      <c r="F42" s="72">
        <v>2.67</v>
      </c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4"/>
      <c r="X42" s="88"/>
      <c r="Y42" s="88"/>
    </row>
    <row r="43" ht="34.5" customHeight="1">
      <c r="B43" s="72">
        <v>37.0</v>
      </c>
      <c r="C43" s="77" t="s">
        <v>59</v>
      </c>
      <c r="D43" s="72">
        <v>5.6</v>
      </c>
      <c r="E43" s="72">
        <v>4.18</v>
      </c>
      <c r="F43" s="72">
        <v>3.83</v>
      </c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4"/>
      <c r="X43" s="88"/>
      <c r="Y43" s="88"/>
    </row>
    <row r="44" ht="34.5" customHeight="1">
      <c r="B44" s="72">
        <v>38.0</v>
      </c>
      <c r="C44" s="77" t="s">
        <v>60</v>
      </c>
      <c r="D44" s="72">
        <v>2.6</v>
      </c>
      <c r="E44" s="72">
        <v>2.1</v>
      </c>
      <c r="F44" s="72">
        <v>5.21</v>
      </c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4"/>
      <c r="X44" s="88"/>
      <c r="Y44" s="88"/>
    </row>
    <row r="45" ht="34.5" customHeight="1">
      <c r="B45" s="73">
        <v>39.0</v>
      </c>
      <c r="C45" s="77" t="s">
        <v>61</v>
      </c>
      <c r="D45" s="86" t="s">
        <v>28</v>
      </c>
      <c r="E45" s="86" t="s">
        <v>28</v>
      </c>
      <c r="F45" s="86" t="s">
        <v>28</v>
      </c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4"/>
      <c r="X45" s="88"/>
      <c r="Y45" s="88"/>
    </row>
    <row r="46" ht="34.5" customHeight="1">
      <c r="B46" s="72">
        <v>40.0</v>
      </c>
      <c r="C46" s="77" t="s">
        <v>62</v>
      </c>
      <c r="D46" s="72">
        <v>0.297</v>
      </c>
      <c r="E46" s="72">
        <v>3.0</v>
      </c>
      <c r="F46" s="72">
        <v>2.7</v>
      </c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4"/>
      <c r="X46" s="88"/>
      <c r="Y46" s="88"/>
    </row>
    <row r="47" ht="34.5" customHeight="1">
      <c r="B47" s="72">
        <v>41.0</v>
      </c>
      <c r="C47" s="77" t="s">
        <v>63</v>
      </c>
      <c r="D47" s="86" t="s">
        <v>28</v>
      </c>
      <c r="E47" s="86" t="s">
        <v>28</v>
      </c>
      <c r="F47" s="86" t="s">
        <v>28</v>
      </c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4"/>
      <c r="X47" s="88"/>
      <c r="Y47" s="88"/>
    </row>
    <row r="48" ht="34.5" customHeight="1">
      <c r="B48" s="73">
        <v>42.0</v>
      </c>
      <c r="C48" s="77" t="s">
        <v>64</v>
      </c>
      <c r="D48" s="72">
        <v>3.94</v>
      </c>
      <c r="E48" s="72">
        <v>3.35</v>
      </c>
      <c r="F48" s="72">
        <v>3.32</v>
      </c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4"/>
      <c r="X48" s="88"/>
      <c r="Y48" s="88"/>
    </row>
    <row r="49" ht="34.5" customHeight="1">
      <c r="B49" s="72">
        <v>43.0</v>
      </c>
      <c r="C49" s="77" t="s">
        <v>65</v>
      </c>
      <c r="D49" s="86" t="s">
        <v>28</v>
      </c>
      <c r="E49" s="86" t="s">
        <v>28</v>
      </c>
      <c r="F49" s="86" t="s">
        <v>28</v>
      </c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4"/>
      <c r="X49" s="88"/>
      <c r="Y49" s="88"/>
    </row>
    <row r="50" ht="34.5" customHeight="1">
      <c r="B50" s="72">
        <v>44.0</v>
      </c>
      <c r="C50" s="77" t="s">
        <v>93</v>
      </c>
      <c r="D50" s="86" t="s">
        <v>28</v>
      </c>
      <c r="E50" s="86" t="s">
        <v>28</v>
      </c>
      <c r="F50" s="86" t="s">
        <v>28</v>
      </c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4"/>
      <c r="X50" s="88"/>
      <c r="Y50" s="88"/>
    </row>
    <row r="51" ht="34.5" customHeight="1">
      <c r="B51" s="73">
        <v>45.0</v>
      </c>
      <c r="C51" s="77" t="s">
        <v>98</v>
      </c>
      <c r="D51" s="86" t="s">
        <v>28</v>
      </c>
      <c r="E51" s="86" t="s">
        <v>28</v>
      </c>
      <c r="F51" s="86" t="s">
        <v>28</v>
      </c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4"/>
      <c r="X51" s="88"/>
      <c r="Y51" s="88"/>
    </row>
    <row r="52" ht="34.5" customHeight="1">
      <c r="B52" s="72">
        <v>46.0</v>
      </c>
      <c r="C52" s="77" t="s">
        <v>66</v>
      </c>
      <c r="D52" s="72">
        <v>3.78</v>
      </c>
      <c r="E52" s="72">
        <v>2.67</v>
      </c>
      <c r="F52" s="72">
        <v>4.25</v>
      </c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4"/>
      <c r="X52" s="88"/>
      <c r="Y52" s="88"/>
    </row>
    <row r="53" ht="34.5" customHeight="1">
      <c r="B53" s="72">
        <v>47.0</v>
      </c>
      <c r="C53" s="77" t="s">
        <v>99</v>
      </c>
      <c r="D53" s="86" t="s">
        <v>28</v>
      </c>
      <c r="E53" s="86" t="s">
        <v>28</v>
      </c>
      <c r="F53" s="86" t="s">
        <v>28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4"/>
      <c r="X53" s="88"/>
      <c r="Y53" s="88"/>
    </row>
    <row r="54" ht="34.5" customHeight="1">
      <c r="B54" s="73">
        <v>48.0</v>
      </c>
      <c r="C54" s="77" t="s">
        <v>67</v>
      </c>
      <c r="D54" s="72">
        <v>7.77</v>
      </c>
      <c r="E54" s="72">
        <v>4.19</v>
      </c>
      <c r="F54" s="72">
        <v>2.94</v>
      </c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4"/>
      <c r="X54" s="88"/>
      <c r="Y54" s="88"/>
    </row>
    <row r="55" ht="34.5" customHeight="1">
      <c r="B55" s="72">
        <v>49.0</v>
      </c>
      <c r="C55" s="77" t="s">
        <v>68</v>
      </c>
      <c r="D55" s="72">
        <v>2.63</v>
      </c>
      <c r="E55" s="72">
        <v>4.18</v>
      </c>
      <c r="F55" s="72">
        <v>2.94</v>
      </c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4"/>
      <c r="X55" s="88"/>
      <c r="Y55" s="88"/>
    </row>
    <row r="56" ht="34.5" customHeight="1">
      <c r="B56" s="72">
        <v>50.0</v>
      </c>
      <c r="C56" s="77" t="s">
        <v>69</v>
      </c>
      <c r="D56" s="72">
        <v>2.75</v>
      </c>
      <c r="E56" s="72">
        <v>4.21</v>
      </c>
      <c r="F56" s="72">
        <v>2.94</v>
      </c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4"/>
      <c r="X56" s="88"/>
      <c r="Y56" s="88"/>
    </row>
    <row r="57" ht="34.5" customHeight="1">
      <c r="B57" s="72">
        <v>51.0</v>
      </c>
      <c r="C57" s="77" t="s">
        <v>84</v>
      </c>
      <c r="D57" s="72">
        <v>7.09</v>
      </c>
      <c r="E57" s="72">
        <v>7.72</v>
      </c>
      <c r="F57" s="72">
        <v>3.0</v>
      </c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4"/>
      <c r="X57" s="88"/>
      <c r="Y57" s="88"/>
    </row>
    <row r="58" ht="34.5" customHeight="1">
      <c r="B58" s="72">
        <v>52.0</v>
      </c>
      <c r="C58" s="77" t="s">
        <v>100</v>
      </c>
      <c r="D58" s="86" t="s">
        <v>28</v>
      </c>
      <c r="E58" s="86" t="s">
        <v>28</v>
      </c>
      <c r="F58" s="86" t="s">
        <v>28</v>
      </c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4"/>
      <c r="X58" s="88"/>
      <c r="Y58" s="88"/>
    </row>
    <row r="59" ht="34.5" customHeight="1">
      <c r="B59" s="72">
        <v>53.0</v>
      </c>
      <c r="C59" s="77" t="s">
        <v>88</v>
      </c>
      <c r="D59" s="86" t="s">
        <v>28</v>
      </c>
      <c r="E59" s="86" t="s">
        <v>28</v>
      </c>
      <c r="F59" s="86" t="s">
        <v>28</v>
      </c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4"/>
      <c r="X59" s="88"/>
      <c r="Y59" s="88"/>
    </row>
    <row r="60" ht="34.5" customHeight="1">
      <c r="B60" s="88"/>
      <c r="C60" s="88"/>
      <c r="D60" s="88"/>
      <c r="E60" s="88"/>
      <c r="F60" s="88"/>
      <c r="G60" s="123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88"/>
      <c r="Y60" s="88"/>
    </row>
    <row r="61" ht="34.5" customHeight="1">
      <c r="B61" s="88"/>
      <c r="C61" s="88"/>
      <c r="D61" s="88"/>
      <c r="E61" s="88"/>
      <c r="F61" s="8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88"/>
      <c r="X61" s="88"/>
      <c r="Y61" s="88"/>
    </row>
    <row r="62" ht="34.5" customHeight="1"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</row>
    <row r="63" ht="34.5" customHeight="1"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</row>
    <row r="64" ht="34.5" customHeight="1"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 ht="34.5" customHeight="1"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 ht="34.5" customHeight="1"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 ht="34.5" customHeight="1"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 ht="34.5" customHeight="1"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 ht="34.5" customHeight="1"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 ht="34.5" customHeight="1"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</row>
    <row r="71" ht="34.5" customHeight="1"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</row>
    <row r="72" ht="34.5" customHeight="1"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5:B7"/>
    <mergeCell ref="C5:C7"/>
    <mergeCell ref="D5:D7"/>
    <mergeCell ref="E5:E7"/>
    <mergeCell ref="F5:F7"/>
    <mergeCell ref="C1:U1"/>
    <mergeCell ref="B2:Y2"/>
    <mergeCell ref="B3:B4"/>
    <mergeCell ref="C3:C4"/>
    <mergeCell ref="D3:F3"/>
    <mergeCell ref="G3:U3"/>
    <mergeCell ref="W3:X3"/>
  </mergeCells>
  <printOptions/>
  <pageMargins bottom="0.7480314960629921" footer="0.0" header="0.0" left="0.7086614173228347" right="0.7086614173228347" top="0.7480314960629921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2014-11-10T12:49:50Z</dcterms:created>
  <dc:creator>Marcellino, German</dc:creator>
</cp:coreProperties>
</file>